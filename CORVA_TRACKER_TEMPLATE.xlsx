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2" autoFilterDateGrouping="1"/>
  </bookViews>
  <sheets>
    <sheet xmlns:r="http://schemas.openxmlformats.org/officeDocument/2006/relationships" name="AFS" sheetId="1" state="visible" r:id="rId1"/>
    <sheet xmlns:r="http://schemas.openxmlformats.org/officeDocument/2006/relationships" name="TOP HAT" sheetId="2" state="visible" r:id="rId2"/>
    <sheet xmlns:r="http://schemas.openxmlformats.org/officeDocument/2006/relationships" name="UNISHELL" sheetId="3" state="visible" r:id="rId3"/>
  </sheets>
  <definedNames>
    <definedName name="_xlnm._FilterDatabase" localSheetId="0" hidden="1">'AFS'!$A$3:$L$239</definedName>
    <definedName name="_xlnm.Print_Area" localSheetId="0">'AFS'!$A$1:$L$237</definedName>
    <definedName name="_xlnm._FilterDatabase" localSheetId="1" hidden="1">'TOP HAT'!$A$3:$K$45</definedName>
    <definedName name="_xlnm._FilterDatabase" localSheetId="2" hidden="1">'UNISHELL'!$A$3:$K$59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sz val="11"/>
    </font>
    <font>
      <name val="Calibri"/>
      <charset val="1"/>
      <sz val="11"/>
    </font>
    <font>
      <name val="Calibri"/>
      <color rgb="FF000000"/>
      <sz val="11"/>
    </font>
    <font>
      <name val="Calibri"/>
      <b val="1"/>
      <color rgb="FF000000"/>
      <sz val="18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D0D0D"/>
      <sz val="11"/>
    </font>
    <font>
      <name val="Calibri"/>
      <color rgb="FF000000"/>
      <sz val="14"/>
    </font>
    <font>
      <name val="Verdana"/>
      <color rgb="FF000000"/>
      <sz val="11"/>
    </font>
    <font>
      <name val="Calibri"/>
      <color rgb="FF000000"/>
      <sz val="11"/>
    </font>
    <font>
      <name val="Calibri"/>
      <sz val="11"/>
    </font>
    <font>
      <name val="Verdana"/>
      <color rgb="FF000000"/>
      <sz val="8"/>
    </font>
  </fonts>
  <fills count="7">
    <fill>
      <patternFill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10" fillId="0" borderId="0" applyAlignment="1">
      <alignment vertical="center"/>
    </xf>
  </cellStyleXfs>
  <cellXfs count="8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bottom"/>
    </xf>
    <xf numFmtId="0" fontId="3" fillId="0" borderId="1" applyAlignment="1" pivotButton="0" quotePrefix="0" xfId="0">
      <alignment horizontal="center" vertical="bottom"/>
    </xf>
    <xf numFmtId="0" fontId="1" fillId="0" borderId="2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/>
    </xf>
    <xf numFmtId="0" fontId="4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7" fillId="3" borderId="7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2" borderId="8" applyAlignment="1" pivotButton="0" quotePrefix="0" xfId="0">
      <alignment vertical="bottom"/>
    </xf>
    <xf numFmtId="0" fontId="1" fillId="3" borderId="8" applyAlignment="1" pivotButton="0" quotePrefix="0" xfId="0">
      <alignment vertical="bottom"/>
    </xf>
    <xf numFmtId="0" fontId="1" fillId="0" borderId="8" applyAlignment="1" pivotButton="0" quotePrefix="0" xfId="0">
      <alignment vertical="bottom"/>
    </xf>
    <xf numFmtId="0" fontId="8" fillId="5" borderId="7" applyAlignment="1" pivotButton="0" quotePrefix="0" xfId="0">
      <alignment horizontal="center" vertical="center"/>
    </xf>
    <xf numFmtId="0" fontId="9" fillId="5" borderId="7" applyAlignment="1" pivotButton="0" quotePrefix="0" xfId="0">
      <alignment horizontal="center" vertical="center"/>
    </xf>
    <xf numFmtId="0" fontId="1" fillId="2" borderId="9" applyAlignment="1" pivotButton="0" quotePrefix="0" xfId="0">
      <alignment vertical="bottom"/>
    </xf>
    <xf numFmtId="0" fontId="1" fillId="3" borderId="9" applyAlignment="1" pivotButton="0" quotePrefix="0" xfId="0">
      <alignment vertical="bottom"/>
    </xf>
    <xf numFmtId="0" fontId="1" fillId="2" borderId="7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1" fillId="0" borderId="9" applyAlignment="1" pivotButton="0" quotePrefix="0" xfId="0">
      <alignment vertical="bottom"/>
    </xf>
    <xf numFmtId="0" fontId="8" fillId="4" borderId="7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9" fillId="4" borderId="7" applyAlignment="1" pivotButton="0" quotePrefix="0" xfId="0">
      <alignment horizontal="center" vertical="center"/>
    </xf>
    <xf numFmtId="0" fontId="10" fillId="5" borderId="7" applyAlignment="1" pivotButton="0" quotePrefix="0" xfId="0">
      <alignment horizontal="center" vertical="center"/>
    </xf>
    <xf numFmtId="0" fontId="10" fillId="4" borderId="7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11" fillId="4" borderId="7" applyAlignment="1" pivotButton="0" quotePrefix="1" xfId="0">
      <alignment horizontal="center" vertical="center"/>
    </xf>
    <xf numFmtId="0" fontId="3" fillId="0" borderId="7" applyAlignment="1" pivotButton="0" quotePrefix="0" xfId="0">
      <alignment horizontal="center" vertical="bottom"/>
    </xf>
    <xf numFmtId="0" fontId="1" fillId="0" borderId="10" applyAlignment="1" pivotButton="0" quotePrefix="0" xfId="0">
      <alignment vertical="bottom"/>
    </xf>
    <xf numFmtId="0" fontId="1" fillId="0" borderId="11" applyAlignment="1" pivotButton="0" quotePrefix="0" xfId="0">
      <alignment vertical="bottom"/>
    </xf>
    <xf numFmtId="0" fontId="1" fillId="0" borderId="12" applyAlignment="1" pivotButton="0" quotePrefix="0" xfId="0">
      <alignment vertical="bottom"/>
    </xf>
    <xf numFmtId="0" fontId="1" fillId="0" borderId="13" applyAlignment="1" pivotButton="0" quotePrefix="0" xfId="0">
      <alignment vertical="bottom"/>
    </xf>
    <xf numFmtId="0" fontId="1" fillId="0" borderId="14" applyAlignment="1" pivotButton="0" quotePrefix="0" xfId="0">
      <alignment vertical="bottom"/>
    </xf>
    <xf numFmtId="0" fontId="4" fillId="2" borderId="7" applyAlignment="1" pivotButton="0" quotePrefix="0" xfId="0">
      <alignment horizontal="center" vertical="bottom"/>
    </xf>
    <xf numFmtId="0" fontId="4" fillId="3" borderId="7" applyAlignment="1" pivotButton="0" quotePrefix="0" xfId="0">
      <alignment horizontal="center" vertical="bottom"/>
    </xf>
    <xf numFmtId="0" fontId="4" fillId="4" borderId="7" applyAlignment="1" pivotButton="0" quotePrefix="0" xfId="0">
      <alignment horizontal="center" vertical="bottom"/>
    </xf>
    <xf numFmtId="0" fontId="4" fillId="5" borderId="7" applyAlignment="1" pivotButton="0" quotePrefix="0" xfId="0">
      <alignment horizontal="center" vertical="bottom"/>
    </xf>
    <xf numFmtId="0" fontId="4" fillId="0" borderId="7" applyAlignment="1" pivotButton="0" quotePrefix="0" xfId="0">
      <alignment horizontal="center" vertical="bottom"/>
    </xf>
    <xf numFmtId="0" fontId="1" fillId="2" borderId="7" applyAlignment="1" pivotButton="0" quotePrefix="0" xfId="0">
      <alignment horizontal="center" vertical="bottom"/>
    </xf>
    <xf numFmtId="0" fontId="2" fillId="4" borderId="7" applyAlignment="1" pivotButton="0" quotePrefix="0" xfId="0">
      <alignment horizontal="center" vertical="bottom"/>
    </xf>
    <xf numFmtId="0" fontId="2" fillId="5" borderId="7" applyAlignment="1" pivotButton="0" quotePrefix="0" xfId="0">
      <alignment horizontal="center" vertical="bottom"/>
    </xf>
    <xf numFmtId="0" fontId="2" fillId="0" borderId="7" applyAlignment="1" pivotButton="0" quotePrefix="0" xfId="0">
      <alignment horizontal="center" vertical="bottom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7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bottom"/>
    </xf>
    <xf numFmtId="0" fontId="10" fillId="5" borderId="7" applyAlignment="1" pivotButton="0" quotePrefix="0" xfId="0">
      <alignment horizontal="center" vertical="bottom"/>
    </xf>
    <xf numFmtId="0" fontId="1" fillId="2" borderId="18" applyAlignment="1" pivotButton="0" quotePrefix="0" xfId="0">
      <alignment vertical="bottom"/>
    </xf>
    <xf numFmtId="0" fontId="1" fillId="2" borderId="14" applyAlignment="1" pivotButton="0" quotePrefix="0" xfId="0">
      <alignment vertical="bottom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常规" xfId="0" builtinId="0"/>
  </cellStyles>
  <dxfs count="1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9C6500"/>
      <rgbColor rgb="00800080"/>
      <rgbColor rgb="00008080"/>
      <rgbColor rgb="00C0C0C0"/>
      <rgbColor rgb="00808080"/>
      <rgbColor rgb="005B9BD5"/>
      <rgbColor rgb="00993366"/>
      <rgbColor rgb="00FFFFCC"/>
      <rgbColor rgb="00CCFFFF"/>
      <rgbColor rgb="00660066"/>
      <rgbColor rgb="00FF8080"/>
      <rgbColor rgb="00255E91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EB9C"/>
      <rgbColor rgb="0099CCFF"/>
      <rgbColor rgb="00FF99CC"/>
      <rgbColor rgb="00CC99FF"/>
      <rgbColor rgb="00FFC7CE"/>
      <rgbColor rgb="004472C4"/>
      <rgbColor rgb="0033CCCC"/>
      <rgbColor rgb="0099CC00"/>
      <rgbColor rgb="00FFC000"/>
      <rgbColor rgb="00FF9900"/>
      <rgbColor rgb="00ED7D31"/>
      <rgbColor rgb="00595959"/>
      <rgbColor rgb="00A5A5A5"/>
      <rgbColor rgb="00003366"/>
      <rgbColor rgb="0070AD47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FS_TRACKER" displayName="AFS_TRACKER" ref="A3:L239" headerRowCount="1">
  <autoFilter ref="A3:L239"/>
  <tableColumns count="12">
    <tableColumn id="1" name="S.NO"/>
    <tableColumn id="2" name="FT NO"/>
    <tableColumn id="3" name="ITEM NO"/>
    <tableColumn id="4" name="DESCRIPTION"/>
    <tableColumn id="5" name="BOM QTY"/>
    <tableColumn id="6" name="NO OF SETS "/>
    <tableColumn id="7" name="ACTUAL"/>
    <tableColumn id="8" name="TOTAL QTY"/>
    <tableColumn id="9" name="RECIVED"/>
    <tableColumn id="10" name="BALANCE"/>
    <tableColumn id="11" name="BUILDABLE FIXTURES"/>
    <tableColumn id="12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P_HAT_TRACKER" displayName="TOP_HAT_TRACKER" ref="A3:K45" headerRowCount="1">
  <autoFilter ref="A3:K45"/>
  <tableColumns count="11">
    <tableColumn id="1" name="S.NO"/>
    <tableColumn id="2" name="FT NO"/>
    <tableColumn id="3" name="ITEM NO"/>
    <tableColumn id="4" name="DESCRIPTION"/>
    <tableColumn id="5" name="BOM QTY"/>
    <tableColumn id="6" name="NO OF SETS"/>
    <tableColumn id="7" name="TOTAL QTY"/>
    <tableColumn id="8" name="RECIVED"/>
    <tableColumn id="9" name="BALANCE"/>
    <tableColumn id="10" name="BUILDABLE FIXTURES"/>
    <tableColumn id="11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UNISHELL_TRACKER" displayName="UNISHELL_TRACKER" ref="A3:K59" headerRowCount="1">
  <autoFilter ref="A3:K59"/>
  <tableColumns count="11">
    <tableColumn id="1" name="S.NO"/>
    <tableColumn id="2" name="FT NO"/>
    <tableColumn id="3" name="ITEM NO"/>
    <tableColumn id="4" name="DESCRIPTION"/>
    <tableColumn id="5" name="BOM QTY"/>
    <tableColumn id="6" name="NO OF SETS "/>
    <tableColumn id="7" name="TOTAL QTY"/>
    <tableColumn id="8" name="RECIVED"/>
    <tableColumn id="9" name="BALANCE"/>
    <tableColumn id="10" name="BUILDABLE FIXTURES"/>
    <tableColumn id="11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9"/>
  <sheetViews>
    <sheetView showGridLines="0" zoomScale="74" workbookViewId="0">
      <pane ySplit="3" topLeftCell="A4" activePane="bottomLeft" state="frozen"/>
      <selection pane="bottomLeft" activeCell="D218" sqref="D218"/>
    </sheetView>
  </sheetViews>
  <sheetFormatPr baseColWidth="8" defaultColWidth="10" defaultRowHeight="14.25" customHeight="1"/>
  <cols>
    <col width="22.597656" customWidth="1" style="1" min="2" max="2"/>
    <col width="14.730469" customWidth="1" style="1" min="3" max="3"/>
    <col width="48.33203" customWidth="1" style="1" min="4" max="4"/>
    <col width="21.265625" customWidth="1" style="1" min="5" max="6"/>
    <col hidden="1" width="21.265625" customWidth="1" style="1" min="7" max="7"/>
    <col width="12.863281" customWidth="1" style="1" min="8" max="8"/>
    <col width="16.597656" customWidth="1" style="2" min="9" max="9"/>
    <col width="13" customWidth="1" style="3" min="10" max="10"/>
    <col width="22.398438" customWidth="1" style="3" min="11" max="11"/>
    <col width="70.796875" customWidth="1" style="1" min="12" max="12"/>
  </cols>
  <sheetData>
    <row r="1" ht="15" customHeight="1" s="70">
      <c r="A1" s="4" t="inlineStr">
        <is>
          <t>CORVA UPDATED  FIXTURES LIST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2" t="n"/>
    </row>
    <row r="2" ht="15" customHeight="1" s="70">
      <c r="A2" s="73" t="n"/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5" t="n"/>
    </row>
    <row r="3" ht="21" customFormat="1" customHeight="1" s="3">
      <c r="A3" s="10" t="inlineStr">
        <is>
          <t>S.NO</t>
        </is>
      </c>
      <c r="B3" s="11" t="inlineStr">
        <is>
          <t>FT NO</t>
        </is>
      </c>
      <c r="C3" s="12" t="inlineStr">
        <is>
          <t>ITEM NO</t>
        </is>
      </c>
      <c r="D3" s="13" t="inlineStr">
        <is>
          <t>DESCRIPTION</t>
        </is>
      </c>
      <c r="E3" s="14" t="inlineStr">
        <is>
          <t>BOM QTY</t>
        </is>
      </c>
      <c r="F3" s="15" t="inlineStr">
        <is>
          <t xml:space="preserve">NO OF SETS </t>
        </is>
      </c>
      <c r="G3" s="14" t="inlineStr">
        <is>
          <t>ACTUAL</t>
        </is>
      </c>
      <c r="H3" s="14" t="inlineStr">
        <is>
          <t>TOTAL QTY</t>
        </is>
      </c>
      <c r="I3" s="15" t="inlineStr">
        <is>
          <t>RECIVED</t>
        </is>
      </c>
      <c r="J3" s="14" t="inlineStr">
        <is>
          <t>BALANCE</t>
        </is>
      </c>
      <c r="K3" s="16" t="inlineStr">
        <is>
          <t>BUILDABLE FIXTURES</t>
        </is>
      </c>
      <c r="L3" s="14" t="inlineStr">
        <is>
          <t>STATUS</t>
        </is>
      </c>
    </row>
    <row r="4" ht="14.25" customHeight="1" s="70">
      <c r="A4" s="17" t="n">
        <v>1</v>
      </c>
      <c r="B4" s="18" t="n">
        <v>1093</v>
      </c>
      <c r="C4" s="19" t="n">
        <v>1</v>
      </c>
      <c r="D4" s="20" t="inlineStr">
        <is>
          <t xml:space="preserve">MACH PLATE,BASE,AFS WELDING,STAND </t>
        </is>
      </c>
      <c r="E4" s="22" t="n">
        <v>1</v>
      </c>
      <c r="F4" s="14" t="n">
        <v>30</v>
      </c>
      <c r="G4" s="22" t="n">
        <v>32</v>
      </c>
      <c r="H4" s="22">
        <f>F4*E4</f>
        <v/>
      </c>
      <c r="I4" s="22" t="n">
        <v>3</v>
      </c>
      <c r="J4" s="22">
        <f>MAX(0,H4-I4)</f>
        <v/>
      </c>
      <c r="K4" s="22">
        <f>MIN(_xlfn.IFERROR(QUOTIENT(I4,E4),0),_xlfn.IFERROR(QUOTIENT(I5,E5),0),_xlfn.IFERROR(QUOTIENT(I6,E6),0),_xlfn.IFERROR(QUOTIENT(I7,E7),0),_xlfn.IFERROR(QUOTIENT(I8,E8),0),_xlfn.IFERROR(QUOTIENT(I9,E9),0),_xlfn.IFERROR(QUOTIENT(I10,E10),0),_xlfn.IFERROR(QUOTIENT(I11,E11),0),_xlfn.IFERROR(QUOTIENT(I12,E12),0),_xlfn.IFERROR(QUOTIENT(I13,E13),0),_xlfn.IFERROR(QUOTIENT(I14,E14),0),_xlfn.IFERROR(QUOTIENT(I15,E15),0),_xlfn.IFERROR(QUOTIENT(I16,E16),0),_xlfn.IFERROR(QUOTIENT(I17,E17),0),_xlfn.IFERROR(QUOTIENT(I18,E18),0),_xlfn.IFERROR(QUOTIENT(I19,E19),0),_xlfn.IFERROR(QUOTIENT(I20,E20),0),_xlfn.IFERROR(QUOTIENT(I21,E21),0),_xlfn.IFERROR(QUOTIENT(I22,E22),0),_xlfn.IFERROR(QUOTIENT(I23,E23),0),_xlfn.IFERROR(QUOTIENT(I24,E24),0),_xlfn.IFERROR(QUOTIENT(I25,E25),0),_xlfn.IFERROR(QUOTIENT(I26,E26),0),_xlfn.IFERROR(QUOTIENT(I27,E27),0),_xlfn.IFERROR(QUOTIENT(I28,E28),0),_xlfn.IFERROR(QUOTIENT(I29,E29),0),_xlfn.IFERROR(QUOTIENT(I30,E30),0),_xlfn.IFERROR(QUOTIENT(I31,E31),0),_xlfn.IFERROR(QUOTIENT(I32,E32),0),_xlfn.IFERROR(QUOTIENT(I33,E33),0),_xlfn.IFERROR(QUOTIENT(I34,E34),0),_xlfn.IFERROR(QUOTIENT(I35,E35),0),_xlfn.IFERROR(QUOTIENT(I36,E36),0),_xlfn.IFERROR(QUOTIENT(I37,E37),0))</f>
        <v/>
      </c>
      <c r="L4" s="22">
        <f>"BUILDABLE: "&amp;$K$4&amp;" | TOTAL REQ: "&amp;H4&amp;" | RECEIVED: "&amp;I4&amp;" | STILL REQUIRED: "&amp;MAX(0,H4-I4)</f>
        <v/>
      </c>
    </row>
    <row r="5" ht="14.25" customHeight="1" s="70">
      <c r="A5" t="n">
        <v>1</v>
      </c>
      <c r="B5" t="n">
        <v>1093</v>
      </c>
      <c r="C5" s="19" t="n">
        <v>2</v>
      </c>
      <c r="D5" s="20" t="inlineStr">
        <is>
          <t>HEIGHT BLOCKS</t>
        </is>
      </c>
      <c r="E5" s="22" t="n">
        <v>8</v>
      </c>
      <c r="F5" s="14" t="n">
        <v>30</v>
      </c>
      <c r="G5" s="22" t="n">
        <v>32</v>
      </c>
      <c r="H5" s="22">
        <f>F5*E5</f>
        <v/>
      </c>
      <c r="I5" s="22" t="n">
        <v>1</v>
      </c>
      <c r="J5" s="22">
        <f>MAX(0,H5-I5)</f>
        <v/>
      </c>
      <c r="L5" s="22">
        <f>"BUILDABLE: "&amp;$K$4&amp;" | TOTAL REQ: "&amp;H5&amp;" | RECEIVED: "&amp;I5&amp;" | STILL REQUIRED: "&amp;MAX(0,H5-I5)</f>
        <v/>
      </c>
    </row>
    <row r="6" ht="14.25" customHeight="1" s="70">
      <c r="A6" t="n">
        <v>1</v>
      </c>
      <c r="B6" t="n">
        <v>1093</v>
      </c>
      <c r="C6" s="19" t="n">
        <v>3</v>
      </c>
      <c r="D6" s="20" t="inlineStr">
        <is>
          <t>BUSH</t>
        </is>
      </c>
      <c r="E6" s="22" t="n">
        <v>6</v>
      </c>
      <c r="F6" s="14" t="n">
        <v>30</v>
      </c>
      <c r="G6" s="22" t="n">
        <v>32</v>
      </c>
      <c r="H6" s="22">
        <f>F6*E6</f>
        <v/>
      </c>
      <c r="I6" s="22" t="n">
        <v>16</v>
      </c>
      <c r="J6" s="22">
        <f>MAX(0,H6-I6)</f>
        <v/>
      </c>
      <c r="L6" s="22">
        <f>"BUILDABLE: "&amp;$K$4&amp;" | TOTAL REQ: "&amp;H6&amp;" | RECEIVED: "&amp;I6&amp;" | STILL REQUIRED: "&amp;MAX(0,H6-I6)</f>
        <v/>
      </c>
    </row>
    <row r="7" ht="14.25" customHeight="1" s="70">
      <c r="A7" t="n">
        <v>1</v>
      </c>
      <c r="B7" t="n">
        <v>1093</v>
      </c>
      <c r="C7" s="19" t="n">
        <v>4</v>
      </c>
      <c r="D7" s="20" t="inlineStr">
        <is>
          <t>MACH LEG SUPPORT AFS WELD STAND</t>
        </is>
      </c>
      <c r="E7" s="22" t="n">
        <v>3</v>
      </c>
      <c r="F7" s="14" t="n">
        <v>30</v>
      </c>
      <c r="G7" s="22" t="n">
        <v>32</v>
      </c>
      <c r="H7" s="22">
        <f>F7*E7</f>
        <v/>
      </c>
      <c r="I7" s="22" t="n">
        <v>12</v>
      </c>
      <c r="J7" s="22">
        <f>MAX(0,H7-I7)</f>
        <v/>
      </c>
      <c r="L7" s="22">
        <f>"BUILDABLE: "&amp;$K$4&amp;" | TOTAL REQ: "&amp;H7&amp;" | RECEIVED: "&amp;I7&amp;" | STILL REQUIRED: "&amp;MAX(0,H7-I7)</f>
        <v/>
      </c>
    </row>
    <row r="8" ht="14.25" customHeight="1" s="70">
      <c r="A8" t="n">
        <v>1</v>
      </c>
      <c r="B8" t="n">
        <v>1093</v>
      </c>
      <c r="C8" s="19" t="n">
        <v>5</v>
      </c>
      <c r="D8" s="26" t="inlineStr">
        <is>
          <t>Mach Plate clamp Fixture</t>
        </is>
      </c>
      <c r="E8" s="22" t="n">
        <v>1</v>
      </c>
      <c r="F8" s="14" t="n">
        <v>30</v>
      </c>
      <c r="G8" s="22" t="n">
        <v>32</v>
      </c>
      <c r="H8" s="22">
        <f>F8*E8</f>
        <v/>
      </c>
      <c r="I8" s="22" t="n">
        <v>0</v>
      </c>
      <c r="J8" s="22">
        <f>MAX(0,H8-I8)</f>
        <v/>
      </c>
      <c r="L8" s="22">
        <f>"BUILDABLE: "&amp;$K$4&amp;" | TOTAL REQ: "&amp;H8&amp;" | RECEIVED: "&amp;I8&amp;" | STILL REQUIRED: "&amp;MAX(0,H8-I8)</f>
        <v/>
      </c>
    </row>
    <row r="9" ht="14.25" customHeight="1" s="70">
      <c r="A9" t="n">
        <v>1</v>
      </c>
      <c r="B9" t="n">
        <v>1093</v>
      </c>
      <c r="C9" s="19" t="n">
        <v>6</v>
      </c>
      <c r="D9" s="20" t="inlineStr">
        <is>
          <t>BUSH</t>
        </is>
      </c>
      <c r="E9" s="22" t="n">
        <v>4</v>
      </c>
      <c r="F9" s="14" t="n">
        <v>30</v>
      </c>
      <c r="G9" s="22" t="n">
        <v>32</v>
      </c>
      <c r="H9" s="22">
        <f>F9*E9</f>
        <v/>
      </c>
      <c r="I9" s="22" t="n">
        <v>0</v>
      </c>
      <c r="J9" s="22">
        <f>MAX(0,H9-I9)</f>
        <v/>
      </c>
      <c r="L9" s="22">
        <f>"BUILDABLE: "&amp;$K$4&amp;" | TOTAL REQ: "&amp;H9&amp;" | RECEIVED: "&amp;I9&amp;" | STILL REQUIRED: "&amp;MAX(0,H9-I9)</f>
        <v/>
      </c>
    </row>
    <row r="10" ht="14.25" customHeight="1" s="70">
      <c r="A10" t="n">
        <v>1</v>
      </c>
      <c r="B10" t="n">
        <v>1093</v>
      </c>
      <c r="C10" s="19" t="n">
        <v>8</v>
      </c>
      <c r="D10" s="20" t="inlineStr">
        <is>
          <t>SUPPORT PLATE</t>
        </is>
      </c>
      <c r="E10" s="22" t="n">
        <v>1</v>
      </c>
      <c r="F10" s="14" t="n">
        <v>30</v>
      </c>
      <c r="G10" s="22" t="n">
        <v>32</v>
      </c>
      <c r="H10" s="22">
        <f>F10*E10</f>
        <v/>
      </c>
      <c r="I10" s="22" t="n">
        <v>0</v>
      </c>
      <c r="J10" s="22">
        <f>MAX(0,H10-I10)</f>
        <v/>
      </c>
      <c r="L10" s="22">
        <f>"BUILDABLE: "&amp;$K$4&amp;" | TOTAL REQ: "&amp;H10&amp;" | RECEIVED: "&amp;I10&amp;" | STILL REQUIRED: "&amp;MAX(0,H10-I10)</f>
        <v/>
      </c>
    </row>
    <row r="11" ht="14.25" customHeight="1" s="70">
      <c r="A11" t="n">
        <v>1</v>
      </c>
      <c r="B11" t="n">
        <v>1093</v>
      </c>
      <c r="C11" s="19" t="n">
        <v>9</v>
      </c>
      <c r="D11" s="20" t="inlineStr">
        <is>
          <t>SIDE LOCATER 1</t>
        </is>
      </c>
      <c r="E11" s="22" t="n">
        <v>1</v>
      </c>
      <c r="F11" s="14" t="n">
        <v>30</v>
      </c>
      <c r="G11" s="22" t="n">
        <v>32</v>
      </c>
      <c r="H11" s="22">
        <f>F11*E11</f>
        <v/>
      </c>
      <c r="I11" s="22" t="n">
        <v>4</v>
      </c>
      <c r="J11" s="22">
        <f>MAX(0,H11-I11)</f>
        <v/>
      </c>
      <c r="L11" s="22">
        <f>"BUILDABLE: "&amp;$K$4&amp;" | TOTAL REQ: "&amp;H11&amp;" | RECEIVED: "&amp;I11&amp;" | STILL REQUIRED: "&amp;MAX(0,H11-I11)</f>
        <v/>
      </c>
    </row>
    <row r="12" ht="14.25" customHeight="1" s="70">
      <c r="A12" t="n">
        <v>1</v>
      </c>
      <c r="B12" t="n">
        <v>1093</v>
      </c>
      <c r="C12" s="19" t="n">
        <v>10</v>
      </c>
      <c r="D12" s="20" t="inlineStr">
        <is>
          <t>SIDE LOCATER 2</t>
        </is>
      </c>
      <c r="E12" s="22" t="n">
        <v>1</v>
      </c>
      <c r="F12" s="14" t="n">
        <v>30</v>
      </c>
      <c r="G12" s="22" t="n">
        <v>32</v>
      </c>
      <c r="H12" s="22">
        <f>F12*E12</f>
        <v/>
      </c>
      <c r="I12" s="22" t="n">
        <v>7</v>
      </c>
      <c r="J12" s="22">
        <f>MAX(0,H12-I12)</f>
        <v/>
      </c>
      <c r="L12" s="22">
        <f>"BUILDABLE: "&amp;$K$4&amp;" | TOTAL REQ: "&amp;H12&amp;" | RECEIVED: "&amp;I12&amp;" | STILL REQUIRED: "&amp;MAX(0,H12-I12)</f>
        <v/>
      </c>
    </row>
    <row r="13" ht="14.25" customHeight="1" s="70">
      <c r="A13" t="n">
        <v>1</v>
      </c>
      <c r="B13" t="n">
        <v>1093</v>
      </c>
      <c r="C13" s="19" t="n">
        <v>11</v>
      </c>
      <c r="D13" s="20" t="inlineStr">
        <is>
          <t>CENTER LOCATING PIN</t>
        </is>
      </c>
      <c r="E13" s="22" t="n">
        <v>1</v>
      </c>
      <c r="F13" s="14" t="n">
        <v>30</v>
      </c>
      <c r="G13" s="22" t="n">
        <v>32</v>
      </c>
      <c r="H13" s="22">
        <f>F13*E13</f>
        <v/>
      </c>
      <c r="I13" s="22" t="n">
        <v>7</v>
      </c>
      <c r="J13" s="22">
        <f>MAX(0,H13-I13)</f>
        <v/>
      </c>
      <c r="L13" s="22">
        <f>"BUILDABLE: "&amp;$K$4&amp;" | TOTAL REQ: "&amp;H13&amp;" | RECEIVED: "&amp;I13&amp;" | STILL REQUIRED: "&amp;MAX(0,H13-I13)</f>
        <v/>
      </c>
    </row>
    <row r="14" ht="14.25" customHeight="1" s="70">
      <c r="A14" t="n">
        <v>1</v>
      </c>
      <c r="B14" t="n">
        <v>1093</v>
      </c>
      <c r="C14" s="19" t="n">
        <v>12</v>
      </c>
      <c r="D14" s="20" t="inlineStr">
        <is>
          <t>SIDE PLUG</t>
        </is>
      </c>
      <c r="E14" s="22" t="n">
        <v>2</v>
      </c>
      <c r="F14" s="14" t="n">
        <v>30</v>
      </c>
      <c r="G14" s="22" t="n">
        <v>32</v>
      </c>
      <c r="H14" s="22">
        <f>F14*E14</f>
        <v/>
      </c>
      <c r="I14" s="22" t="n">
        <v>4</v>
      </c>
      <c r="J14" s="22">
        <f>MAX(0,H14-I14)</f>
        <v/>
      </c>
      <c r="L14" s="22">
        <f>"BUILDABLE: "&amp;$K$4&amp;" | TOTAL REQ: "&amp;H14&amp;" | RECEIVED: "&amp;I14&amp;" | STILL REQUIRED: "&amp;MAX(0,H14-I14)</f>
        <v/>
      </c>
    </row>
    <row r="15" ht="14.25" customHeight="1" s="70">
      <c r="A15" t="n">
        <v>1</v>
      </c>
      <c r="B15" t="n">
        <v>1093</v>
      </c>
      <c r="C15" s="19" t="n">
        <v>13</v>
      </c>
      <c r="D15" s="20" t="inlineStr">
        <is>
          <t>SUPPORT FLANGE</t>
        </is>
      </c>
      <c r="E15" s="22" t="n">
        <v>2</v>
      </c>
      <c r="F15" s="14" t="n">
        <v>30</v>
      </c>
      <c r="G15" s="22" t="n">
        <v>32</v>
      </c>
      <c r="H15" s="22">
        <f>F15*E15</f>
        <v/>
      </c>
      <c r="I15" s="22" t="n">
        <v>8</v>
      </c>
      <c r="J15" s="22">
        <f>MAX(0,H15-I15)</f>
        <v/>
      </c>
      <c r="L15" s="22">
        <f>"BUILDABLE: "&amp;$K$4&amp;" | TOTAL REQ: "&amp;H15&amp;" | RECEIVED: "&amp;I15&amp;" | STILL REQUIRED: "&amp;MAX(0,H15-I15)</f>
        <v/>
      </c>
    </row>
    <row r="16" ht="14.25" customHeight="1" s="70">
      <c r="A16" t="n">
        <v>1</v>
      </c>
      <c r="B16" t="n">
        <v>1093</v>
      </c>
      <c r="C16" s="19" t="n">
        <v>14</v>
      </c>
      <c r="D16" s="20" t="inlineStr">
        <is>
          <t>SUPPORT ROD</t>
        </is>
      </c>
      <c r="E16" s="22" t="n">
        <v>2</v>
      </c>
      <c r="F16" s="14" t="n">
        <v>30</v>
      </c>
      <c r="G16" s="22" t="n">
        <v>32</v>
      </c>
      <c r="H16" s="22">
        <f>F16*E16</f>
        <v/>
      </c>
      <c r="I16" s="22" t="n">
        <v>1</v>
      </c>
      <c r="J16" s="22">
        <f>MAX(0,H16-I16)</f>
        <v/>
      </c>
      <c r="L16" s="22">
        <f>"BUILDABLE: "&amp;$K$4&amp;" | TOTAL REQ: "&amp;H16&amp;" | RECEIVED: "&amp;I16&amp;" | STILL REQUIRED: "&amp;MAX(0,H16-I16)</f>
        <v/>
      </c>
    </row>
    <row r="17" ht="14.25" customHeight="1" s="70">
      <c r="A17" t="n">
        <v>1</v>
      </c>
      <c r="B17" t="n">
        <v>1093</v>
      </c>
      <c r="C17" s="19" t="n">
        <v>18</v>
      </c>
      <c r="D17" s="27" t="inlineStr">
        <is>
          <t>LEG</t>
        </is>
      </c>
      <c r="E17" s="22" t="n">
        <v>4</v>
      </c>
      <c r="F17" s="14" t="n">
        <v>30</v>
      </c>
      <c r="G17" s="22" t="n">
        <v>32</v>
      </c>
      <c r="H17" s="22">
        <f>F17*E17</f>
        <v/>
      </c>
      <c r="I17" s="22" t="n">
        <v>16</v>
      </c>
      <c r="J17" s="22">
        <f>MAX(0,H17-I17)</f>
        <v/>
      </c>
      <c r="L17" s="22">
        <f>"BUILDABLE: "&amp;$K$4&amp;" | TOTAL REQ: "&amp;H17&amp;" | RECEIVED: "&amp;I17&amp;" | STILL REQUIRED: "&amp;MAX(0,H17-I17)</f>
        <v/>
      </c>
    </row>
    <row r="18" ht="14.25" customHeight="1" s="70">
      <c r="A18" t="n">
        <v>1</v>
      </c>
      <c r="B18" t="n">
        <v>1093</v>
      </c>
      <c r="C18" s="19" t="n">
        <v>19</v>
      </c>
      <c r="D18" s="20" t="inlineStr">
        <is>
          <t>BOTTOM BLOCK</t>
        </is>
      </c>
      <c r="E18" s="22" t="n">
        <v>1</v>
      </c>
      <c r="F18" s="14" t="n">
        <v>30</v>
      </c>
      <c r="G18" s="22" t="n">
        <v>32</v>
      </c>
      <c r="H18" s="22">
        <f>F18*E18</f>
        <v/>
      </c>
      <c r="I18" s="22" t="n">
        <v>4</v>
      </c>
      <c r="J18" s="22">
        <f>MAX(0,H18-I18)</f>
        <v/>
      </c>
      <c r="L18" s="22">
        <f>"BUILDABLE: "&amp;$K$4&amp;" | TOTAL REQ: "&amp;H18&amp;" | RECEIVED: "&amp;I18&amp;" | STILL REQUIRED: "&amp;MAX(0,H18-I18)</f>
        <v/>
      </c>
    </row>
    <row r="19" ht="14.25" customHeight="1" s="70">
      <c r="A19" t="n">
        <v>1</v>
      </c>
      <c r="B19" t="n">
        <v>1093</v>
      </c>
      <c r="C19" s="19" t="n">
        <v>20</v>
      </c>
      <c r="D19" s="20" t="inlineStr">
        <is>
          <t>TIE RODS</t>
        </is>
      </c>
      <c r="E19" s="22" t="n">
        <v>4</v>
      </c>
      <c r="F19" s="14" t="n">
        <v>30</v>
      </c>
      <c r="G19" s="22" t="n">
        <v>32</v>
      </c>
      <c r="H19" s="22">
        <f>F19*E19</f>
        <v/>
      </c>
      <c r="I19" s="22" t="n">
        <v>31</v>
      </c>
      <c r="J19" s="22">
        <f>MAX(0,H19-I19)</f>
        <v/>
      </c>
      <c r="L19" s="22">
        <f>"BUILDABLE: "&amp;$K$4&amp;" | TOTAL REQ: "&amp;H19&amp;" | RECEIVED: "&amp;I19&amp;" | STILL REQUIRED: "&amp;MAX(0,H19-I19)</f>
        <v/>
      </c>
    </row>
    <row r="20" ht="14.25" customHeight="1" s="70">
      <c r="A20" t="n">
        <v>1</v>
      </c>
      <c r="B20" t="n">
        <v>1093</v>
      </c>
      <c r="C20" s="19" t="n">
        <v>21</v>
      </c>
      <c r="D20" s="20" t="inlineStr">
        <is>
          <t>TOP GUIDE PLATE 1</t>
        </is>
      </c>
      <c r="E20" s="22" t="n">
        <v>1</v>
      </c>
      <c r="F20" s="14" t="n">
        <v>30</v>
      </c>
      <c r="G20" s="22" t="n">
        <v>32</v>
      </c>
      <c r="H20" s="22">
        <f>F20*E20</f>
        <v/>
      </c>
      <c r="I20" s="22" t="n">
        <v>4</v>
      </c>
      <c r="J20" s="22">
        <f>MAX(0,H20-I20)</f>
        <v/>
      </c>
      <c r="L20" s="22">
        <f>"BUILDABLE: "&amp;$K$4&amp;" | TOTAL REQ: "&amp;H20&amp;" | RECEIVED: "&amp;I20&amp;" | STILL REQUIRED: "&amp;MAX(0,H20-I20)</f>
        <v/>
      </c>
    </row>
    <row r="21" ht="14.25" customHeight="1" s="70">
      <c r="A21" t="n">
        <v>1</v>
      </c>
      <c r="B21" t="n">
        <v>1093</v>
      </c>
      <c r="C21" s="19" t="n">
        <v>22</v>
      </c>
      <c r="D21" s="20" t="inlineStr">
        <is>
          <t>TOP GUIDE PLATE 2</t>
        </is>
      </c>
      <c r="E21" s="22" t="n">
        <v>1</v>
      </c>
      <c r="F21" s="14" t="n">
        <v>30</v>
      </c>
      <c r="G21" s="22" t="n">
        <v>32</v>
      </c>
      <c r="H21" s="22">
        <f>F21*E21</f>
        <v/>
      </c>
      <c r="I21" s="22" t="n">
        <v>16</v>
      </c>
      <c r="J21" s="22">
        <f>MAX(0,H21-I21)</f>
        <v/>
      </c>
      <c r="L21" s="22">
        <f>"BUILDABLE: "&amp;$K$4&amp;" | TOTAL REQ: "&amp;H21&amp;" | RECEIVED: "&amp;I21&amp;" | STILL REQUIRED: "&amp;MAX(0,H21-I21)</f>
        <v/>
      </c>
    </row>
    <row r="22" ht="14.25" customHeight="1" s="70">
      <c r="A22" t="n">
        <v>1</v>
      </c>
      <c r="B22" t="n">
        <v>1093</v>
      </c>
      <c r="C22" s="19" t="n">
        <v>29</v>
      </c>
      <c r="D22" s="20" t="inlineStr">
        <is>
          <t>PLUG ALIGNER PLATE</t>
        </is>
      </c>
      <c r="E22" s="22" t="n">
        <v>1</v>
      </c>
      <c r="F22" s="14" t="n">
        <v>30</v>
      </c>
      <c r="G22" s="22" t="n">
        <v>32</v>
      </c>
      <c r="H22" s="22">
        <f>F22*E22</f>
        <v/>
      </c>
      <c r="I22" s="22" t="n">
        <v>8</v>
      </c>
      <c r="J22" s="22">
        <f>MAX(0,H22-I22)</f>
        <v/>
      </c>
      <c r="L22" s="22">
        <f>"BUILDABLE: "&amp;$K$4&amp;" | TOTAL REQ: "&amp;H22&amp;" | RECEIVED: "&amp;I22&amp;" | STILL REQUIRED: "&amp;MAX(0,H22-I22)</f>
        <v/>
      </c>
    </row>
    <row r="23" ht="14.25" customHeight="1" s="70">
      <c r="A23" t="n">
        <v>1</v>
      </c>
      <c r="B23" t="n">
        <v>1093</v>
      </c>
      <c r="C23" s="19" t="n">
        <v>30</v>
      </c>
      <c r="D23" s="20" t="inlineStr">
        <is>
          <t>PLUG ALIGNER BLOCK</t>
        </is>
      </c>
      <c r="E23" s="22" t="n">
        <v>1</v>
      </c>
      <c r="F23" s="14" t="n">
        <v>30</v>
      </c>
      <c r="G23" s="22" t="n">
        <v>32</v>
      </c>
      <c r="H23" s="22">
        <f>F23*E23</f>
        <v/>
      </c>
      <c r="I23" s="22" t="n">
        <v>4</v>
      </c>
      <c r="J23" s="22">
        <f>MAX(0,H23-I23)</f>
        <v/>
      </c>
      <c r="L23" s="22">
        <f>"BUILDABLE: "&amp;$K$4&amp;" | TOTAL REQ: "&amp;H23&amp;" | RECEIVED: "&amp;I23&amp;" | STILL REQUIRED: "&amp;MAX(0,H23-I23)</f>
        <v/>
      </c>
    </row>
    <row r="24" ht="14.25" customHeight="1" s="70">
      <c r="A24" t="n">
        <v>1</v>
      </c>
      <c r="B24" t="n">
        <v>1093</v>
      </c>
      <c r="C24" s="19" t="n">
        <v>31</v>
      </c>
      <c r="D24" s="27" t="inlineStr">
        <is>
          <t>BUSH-2</t>
        </is>
      </c>
      <c r="E24" s="22" t="n">
        <v>4</v>
      </c>
      <c r="F24" s="14" t="n">
        <v>30</v>
      </c>
      <c r="G24" s="22" t="n">
        <v>32</v>
      </c>
      <c r="H24" s="22">
        <f>F24*E24</f>
        <v/>
      </c>
      <c r="I24" s="22" t="n">
        <v>16</v>
      </c>
      <c r="J24" s="22">
        <f>MAX(0,H24-I24)</f>
        <v/>
      </c>
      <c r="L24" s="22">
        <f>"BUILDABLE: "&amp;$K$4&amp;" | TOTAL REQ: "&amp;H24&amp;" | RECEIVED: "&amp;I24&amp;" | STILL REQUIRED: "&amp;MAX(0,H24-I24)</f>
        <v/>
      </c>
    </row>
    <row r="25" ht="14.25" customHeight="1" s="70">
      <c r="A25" s="39" t="n">
        <v>2</v>
      </c>
      <c r="B25" s="40" t="n">
        <v>1094</v>
      </c>
      <c r="C25" s="19" t="inlineStr">
        <is>
          <t>1A</t>
        </is>
      </c>
      <c r="D25" s="20" t="inlineStr">
        <is>
          <t>TIE RODS</t>
        </is>
      </c>
      <c r="E25" s="22" t="n">
        <v>4</v>
      </c>
      <c r="F25" s="14" t="n">
        <v>30</v>
      </c>
      <c r="G25" s="22" t="n">
        <v>32</v>
      </c>
      <c r="H25" s="22">
        <f>F25*E25</f>
        <v/>
      </c>
      <c r="I25" s="22" t="n">
        <v>2</v>
      </c>
      <c r="J25" s="22">
        <f>MAX(0,H25-I25)</f>
        <v/>
      </c>
      <c r="L25" s="22">
        <f>"BUILDABLE: "&amp;$K$4&amp;" | TOTAL REQ: "&amp;H25&amp;" | RECEIVED: "&amp;I25&amp;" | STILL REQUIRED: "&amp;MAX(0,H25-I25)</f>
        <v/>
      </c>
    </row>
    <row r="26" ht="14.25" customHeight="1" s="70">
      <c r="A26" t="n">
        <v>2</v>
      </c>
      <c r="B26" t="n">
        <v>1094</v>
      </c>
      <c r="C26" s="19" t="inlineStr">
        <is>
          <t>2A</t>
        </is>
      </c>
      <c r="D26" s="20" t="inlineStr">
        <is>
          <t>TOP GUIDE FLANGE 1</t>
        </is>
      </c>
      <c r="E26" s="22" t="n">
        <v>1</v>
      </c>
      <c r="F26" s="14" t="n">
        <v>30</v>
      </c>
      <c r="G26" s="22" t="n">
        <v>32</v>
      </c>
      <c r="H26" s="22">
        <f>F26*E26</f>
        <v/>
      </c>
      <c r="I26" s="22" t="n">
        <v>4</v>
      </c>
      <c r="J26" s="22">
        <f>MAX(0,H26-I26)</f>
        <v/>
      </c>
      <c r="L26" s="22">
        <f>"BUILDABLE: "&amp;$K$4&amp;" | TOTAL REQ: "&amp;H26&amp;" | RECEIVED: "&amp;I26&amp;" | STILL REQUIRED: "&amp;MAX(0,H26-I26)</f>
        <v/>
      </c>
    </row>
    <row r="27" ht="14.25" customHeight="1" s="70">
      <c r="A27" t="n">
        <v>2</v>
      </c>
      <c r="B27" t="n">
        <v>1094</v>
      </c>
      <c r="C27" s="19" t="inlineStr">
        <is>
          <t>3A</t>
        </is>
      </c>
      <c r="D27" s="20" t="inlineStr">
        <is>
          <t>TO GUIDE FLANGE 2</t>
        </is>
      </c>
      <c r="E27" s="22" t="n">
        <v>1</v>
      </c>
      <c r="F27" s="14" t="n">
        <v>30</v>
      </c>
      <c r="G27" s="22" t="n">
        <v>32</v>
      </c>
      <c r="H27" s="22">
        <f>F27*E27</f>
        <v/>
      </c>
      <c r="I27" s="22" t="n">
        <v>4</v>
      </c>
      <c r="J27" s="22">
        <f>MAX(0,H27-I27)</f>
        <v/>
      </c>
      <c r="L27" s="22">
        <f>"BUILDABLE: "&amp;$K$4&amp;" | TOTAL REQ: "&amp;H27&amp;" | RECEIVED: "&amp;I27&amp;" | STILL REQUIRED: "&amp;MAX(0,H27-I27)</f>
        <v/>
      </c>
    </row>
    <row r="28" ht="14.25" customHeight="1" s="70">
      <c r="A28" t="n">
        <v>2</v>
      </c>
      <c r="B28" t="n">
        <v>1094</v>
      </c>
      <c r="C28" s="19" t="inlineStr">
        <is>
          <t>4A</t>
        </is>
      </c>
      <c r="D28" s="20" t="inlineStr">
        <is>
          <t>LOCKING PIN</t>
        </is>
      </c>
      <c r="E28" s="22" t="n">
        <v>4</v>
      </c>
      <c r="F28" s="14" t="n">
        <v>30</v>
      </c>
      <c r="G28" s="22" t="n">
        <v>32</v>
      </c>
      <c r="H28" s="22">
        <f>F28*E28</f>
        <v/>
      </c>
      <c r="I28" s="22" t="n">
        <v>12</v>
      </c>
      <c r="J28" s="22">
        <f>MAX(0,H28-I28)</f>
        <v/>
      </c>
      <c r="L28" s="22">
        <f>"BUILDABLE: "&amp;$K$4&amp;" | TOTAL REQ: "&amp;H28&amp;" | RECEIVED: "&amp;I28&amp;" | STILL REQUIRED: "&amp;MAX(0,H28-I28)</f>
        <v/>
      </c>
    </row>
    <row r="29" ht="14.25" customHeight="1" s="70">
      <c r="A29" t="n">
        <v>2</v>
      </c>
      <c r="B29" t="n">
        <v>1094</v>
      </c>
      <c r="C29" s="19" t="inlineStr">
        <is>
          <t>5A</t>
        </is>
      </c>
      <c r="D29" s="20" t="inlineStr">
        <is>
          <t>HOLDING PLATE 1</t>
        </is>
      </c>
      <c r="E29" s="22" t="n">
        <v>1</v>
      </c>
      <c r="F29" s="14" t="n">
        <v>30</v>
      </c>
      <c r="G29" s="22" t="n">
        <v>32</v>
      </c>
      <c r="H29" s="22">
        <f>F29*E29</f>
        <v/>
      </c>
      <c r="I29" s="22" t="n">
        <v>4</v>
      </c>
      <c r="J29" s="22">
        <f>MAX(0,H29-I29)</f>
        <v/>
      </c>
      <c r="L29" s="22">
        <f>"BUILDABLE: "&amp;$K$4&amp;" | TOTAL REQ: "&amp;H29&amp;" | RECEIVED: "&amp;I29&amp;" | STILL REQUIRED: "&amp;MAX(0,H29-I29)</f>
        <v/>
      </c>
    </row>
    <row r="30" ht="14.25" customHeight="1" s="70">
      <c r="A30" t="n">
        <v>2</v>
      </c>
      <c r="B30" t="n">
        <v>1094</v>
      </c>
      <c r="C30" s="19" t="inlineStr">
        <is>
          <t>6A</t>
        </is>
      </c>
      <c r="D30" s="20" t="inlineStr">
        <is>
          <t>HOLDING PLATE 2</t>
        </is>
      </c>
      <c r="E30" s="22" t="n">
        <v>1</v>
      </c>
      <c r="F30" s="14" t="n">
        <v>30</v>
      </c>
      <c r="G30" s="22" t="n">
        <v>32</v>
      </c>
      <c r="H30" s="22">
        <f>F30*E30</f>
        <v/>
      </c>
      <c r="I30" s="22" t="n">
        <v>4</v>
      </c>
      <c r="J30" s="22">
        <f>MAX(0,H30-I30)</f>
        <v/>
      </c>
      <c r="L30" s="22">
        <f>"BUILDABLE: "&amp;$K$4&amp;" | TOTAL REQ: "&amp;H30&amp;" | RECEIVED: "&amp;I30&amp;" | STILL REQUIRED: "&amp;MAX(0,H30-I30)</f>
        <v/>
      </c>
    </row>
    <row r="31" ht="14.25" customHeight="1" s="70">
      <c r="A31" t="n">
        <v>2</v>
      </c>
      <c r="B31" t="n">
        <v>1094</v>
      </c>
      <c r="C31" s="19" t="inlineStr">
        <is>
          <t>7A</t>
        </is>
      </c>
      <c r="D31" s="20" t="inlineStr">
        <is>
          <t>BOTTOM GUIDE FLANGE 1</t>
        </is>
      </c>
      <c r="E31" s="22" t="n">
        <v>1</v>
      </c>
      <c r="F31" s="14" t="n">
        <v>30</v>
      </c>
      <c r="G31" s="22" t="n">
        <v>32</v>
      </c>
      <c r="H31" s="22">
        <f>F31*E31</f>
        <v/>
      </c>
      <c r="I31" s="22" t="n">
        <v>2</v>
      </c>
      <c r="J31" s="22">
        <f>MAX(0,H31-I31)</f>
        <v/>
      </c>
      <c r="L31" s="22">
        <f>"BUILDABLE: "&amp;$K$4&amp;" | TOTAL REQ: "&amp;H31&amp;" | RECEIVED: "&amp;I31&amp;" | STILL REQUIRED: "&amp;MAX(0,H31-I31)</f>
        <v/>
      </c>
    </row>
    <row r="32" ht="14.25" customHeight="1" s="70">
      <c r="A32" t="n">
        <v>2</v>
      </c>
      <c r="B32" t="n">
        <v>1094</v>
      </c>
      <c r="C32" s="19" t="inlineStr">
        <is>
          <t>8A</t>
        </is>
      </c>
      <c r="D32" s="20" t="inlineStr">
        <is>
          <t>BOTTOM GUIDE FLANGE 2</t>
        </is>
      </c>
      <c r="E32" s="22" t="n">
        <v>1</v>
      </c>
      <c r="F32" s="14" t="n">
        <v>30</v>
      </c>
      <c r="G32" s="22" t="n">
        <v>32</v>
      </c>
      <c r="H32" s="22">
        <f>F32*E32</f>
        <v/>
      </c>
      <c r="I32" s="22" t="n">
        <v>2</v>
      </c>
      <c r="J32" s="22">
        <f>MAX(0,H32-I32)</f>
        <v/>
      </c>
      <c r="L32" s="22">
        <f>"BUILDABLE: "&amp;$K$4&amp;" | TOTAL REQ: "&amp;H32&amp;" | RECEIVED: "&amp;I32&amp;" | STILL REQUIRED: "&amp;MAX(0,H32-I32)</f>
        <v/>
      </c>
    </row>
    <row r="33" ht="14.25" customHeight="1" s="70">
      <c r="A33" s="17" t="n">
        <v>3</v>
      </c>
      <c r="B33" s="32" t="n">
        <v>1095</v>
      </c>
      <c r="C33" s="19" t="inlineStr">
        <is>
          <t>1B</t>
        </is>
      </c>
      <c r="D33" s="20" t="inlineStr">
        <is>
          <t>ALIGNER PLATE</t>
        </is>
      </c>
      <c r="E33" s="22" t="n">
        <v>1</v>
      </c>
      <c r="F33" s="14" t="n">
        <v>30</v>
      </c>
      <c r="G33" s="22" t="n">
        <v>32</v>
      </c>
      <c r="H33" s="22">
        <f>F33*E33</f>
        <v/>
      </c>
      <c r="I33" s="22" t="n">
        <v>3</v>
      </c>
      <c r="J33" s="22">
        <f>MAX(0,H33-I33)</f>
        <v/>
      </c>
      <c r="L33" s="22">
        <f>"BUILDABLE: "&amp;$K$4&amp;" | TOTAL REQ: "&amp;H33&amp;" | RECEIVED: "&amp;I33&amp;" | STILL REQUIRED: "&amp;MAX(0,H33-I33)</f>
        <v/>
      </c>
    </row>
    <row r="34" ht="14.25" customHeight="1" s="70">
      <c r="A34" t="n">
        <v>3</v>
      </c>
      <c r="B34" t="n">
        <v>1095</v>
      </c>
      <c r="C34" s="19" t="inlineStr">
        <is>
          <t>2B</t>
        </is>
      </c>
      <c r="D34" s="20" t="inlineStr">
        <is>
          <t>TIE RODS</t>
        </is>
      </c>
      <c r="E34" s="22" t="n">
        <v>4</v>
      </c>
      <c r="F34" s="14" t="n">
        <v>30</v>
      </c>
      <c r="G34" s="22" t="n">
        <v>32</v>
      </c>
      <c r="H34" s="22">
        <f>F34*E34</f>
        <v/>
      </c>
      <c r="I34" s="22" t="n">
        <v>23</v>
      </c>
      <c r="J34" s="22">
        <f>MAX(0,H34-I34)</f>
        <v/>
      </c>
      <c r="L34" s="22">
        <f>"BUILDABLE: "&amp;$K$4&amp;" | TOTAL REQ: "&amp;H34&amp;" | RECEIVED: "&amp;I34&amp;" | STILL REQUIRED: "&amp;MAX(0,H34-I34)</f>
        <v/>
      </c>
    </row>
    <row r="35" ht="14.25" customHeight="1" s="70">
      <c r="A35" t="n">
        <v>3</v>
      </c>
      <c r="B35" t="n">
        <v>1095</v>
      </c>
      <c r="C35" s="19" t="inlineStr">
        <is>
          <t>3B</t>
        </is>
      </c>
      <c r="D35" s="20" t="inlineStr">
        <is>
          <t>SIDE LOCATOR-3</t>
        </is>
      </c>
      <c r="E35" s="22" t="n">
        <v>1</v>
      </c>
      <c r="F35" s="14" t="n">
        <v>30</v>
      </c>
      <c r="G35" s="22" t="n">
        <v>32</v>
      </c>
      <c r="H35" s="22">
        <f>F35*E35</f>
        <v/>
      </c>
      <c r="I35" s="22" t="n">
        <v>11</v>
      </c>
      <c r="J35" s="22">
        <f>MAX(0,H35-I35)</f>
        <v/>
      </c>
      <c r="L35" s="22">
        <f>"BUILDABLE: "&amp;$K$4&amp;" | TOTAL REQ: "&amp;H35&amp;" | RECEIVED: "&amp;I35&amp;" | STILL REQUIRED: "&amp;MAX(0,H35-I35)</f>
        <v/>
      </c>
    </row>
    <row r="36" ht="14.25" customHeight="1" s="70">
      <c r="A36" t="n">
        <v>3</v>
      </c>
      <c r="B36" t="n">
        <v>1095</v>
      </c>
      <c r="C36" s="19" t="inlineStr">
        <is>
          <t>4B</t>
        </is>
      </c>
      <c r="D36" s="20" t="inlineStr">
        <is>
          <t>PLUG ALIGNER PLATE</t>
        </is>
      </c>
      <c r="E36" s="22" t="n">
        <v>1</v>
      </c>
      <c r="F36" s="14" t="n">
        <v>30</v>
      </c>
      <c r="G36" s="22" t="n">
        <v>32</v>
      </c>
      <c r="H36" s="22">
        <f>F36*E36</f>
        <v/>
      </c>
      <c r="I36" s="22" t="n">
        <v>0</v>
      </c>
      <c r="J36" s="22">
        <f>MAX(0,H36-I36)</f>
        <v/>
      </c>
      <c r="L36" s="22">
        <f>"BUILDABLE: "&amp;$K$4&amp;" | TOTAL REQ: "&amp;H36&amp;" | RECEIVED: "&amp;I36&amp;" | STILL REQUIRED: "&amp;MAX(0,H36-I36)</f>
        <v/>
      </c>
    </row>
    <row r="37" ht="14.25" customHeight="1" s="70">
      <c r="A37" t="n">
        <v>3</v>
      </c>
      <c r="B37" t="n">
        <v>1095</v>
      </c>
      <c r="C37" s="19" t="inlineStr">
        <is>
          <t>5B</t>
        </is>
      </c>
      <c r="D37" s="20" t="inlineStr">
        <is>
          <t>PLUG ALIGNER BLOCK</t>
        </is>
      </c>
      <c r="E37" s="22" t="n">
        <v>1</v>
      </c>
      <c r="F37" s="14" t="n">
        <v>30</v>
      </c>
      <c r="G37" s="22" t="n">
        <v>32</v>
      </c>
      <c r="H37" s="22">
        <f>F37*E37</f>
        <v/>
      </c>
      <c r="I37" s="22" t="n">
        <v>4</v>
      </c>
      <c r="J37" s="22">
        <f>MAX(0,H37-I37)</f>
        <v/>
      </c>
      <c r="L37" s="22">
        <f>"BUILDABLE: "&amp;$K$4&amp;" | TOTAL REQ: "&amp;H37&amp;" | RECEIVED: "&amp;I37&amp;" | STILL REQUIRED: "&amp;MAX(0,H37-I37)</f>
        <v/>
      </c>
    </row>
    <row r="38" ht="14.25" customHeight="1" s="70">
      <c r="A38" s="17" t="n">
        <v>4</v>
      </c>
      <c r="B38" s="32" t="n">
        <v>1133</v>
      </c>
      <c r="C38" s="19" t="n">
        <v>1</v>
      </c>
      <c r="D38" s="20" t="inlineStr">
        <is>
          <t>CLAMP PLATE 1</t>
        </is>
      </c>
      <c r="E38" s="22" t="n">
        <v>1</v>
      </c>
      <c r="F38" s="14" t="n">
        <v>30</v>
      </c>
      <c r="G38" s="22" t="n"/>
      <c r="H38" s="22">
        <f>F38*E38</f>
        <v/>
      </c>
      <c r="I38" s="22" t="n">
        <v>0</v>
      </c>
      <c r="J38" s="22">
        <f>MAX(0,H38-I38)</f>
        <v/>
      </c>
      <c r="K38" s="22">
        <f>MIN(_xlfn.IFERROR(QUOTIENT(I38,E38),0),_xlfn.IFERROR(QUOTIENT(I39,E39),0),_xlfn.IFERROR(QUOTIENT(I40,E40),0),_xlfn.IFERROR(QUOTIENT(I41,E41),0),_xlfn.IFERROR(QUOTIENT(I42,E42),0))</f>
        <v/>
      </c>
      <c r="L38" s="22">
        <f>"BUILDABLE: "&amp;$K$38&amp;" | TOTAL REQ: "&amp;H38&amp;" | RECEIVED: "&amp;I38&amp;" | STILL REQUIRED: "&amp;MAX(0,H38-I38)</f>
        <v/>
      </c>
    </row>
    <row r="39" ht="14.25" customHeight="1" s="70">
      <c r="A39" t="n">
        <v>4</v>
      </c>
      <c r="B39" t="n">
        <v>1133</v>
      </c>
      <c r="C39" s="19" t="n">
        <v>2</v>
      </c>
      <c r="D39" s="20" t="inlineStr">
        <is>
          <t>CLAMP PLATE 2</t>
        </is>
      </c>
      <c r="E39" s="22" t="n">
        <v>1</v>
      </c>
      <c r="F39" s="14" t="n">
        <v>30</v>
      </c>
      <c r="G39" s="22" t="n"/>
      <c r="H39" s="22">
        <f>F39*E39</f>
        <v/>
      </c>
      <c r="I39" s="22" t="n">
        <v>0</v>
      </c>
      <c r="J39" s="22">
        <f>MAX(0,H39-I39)</f>
        <v/>
      </c>
      <c r="L39" s="22">
        <f>"BUILDABLE: "&amp;$K$38&amp;" | TOTAL REQ: "&amp;H39&amp;" | RECEIVED: "&amp;I39&amp;" | STILL REQUIRED: "&amp;MAX(0,H39-I39)</f>
        <v/>
      </c>
    </row>
    <row r="40" ht="14.25" customHeight="1" s="70">
      <c r="A40" t="n">
        <v>4</v>
      </c>
      <c r="B40" t="n">
        <v>1133</v>
      </c>
      <c r="C40" s="19" t="n">
        <v>3</v>
      </c>
      <c r="D40" s="20" t="inlineStr">
        <is>
          <t>SWING CLAMP 1</t>
        </is>
      </c>
      <c r="E40" s="22" t="n">
        <v>1</v>
      </c>
      <c r="F40" s="14" t="n">
        <v>30</v>
      </c>
      <c r="G40" s="22" t="n"/>
      <c r="H40" s="22">
        <f>F40*E40</f>
        <v/>
      </c>
      <c r="I40" s="22" t="n">
        <v>0</v>
      </c>
      <c r="J40" s="22">
        <f>MAX(0,H40-I40)</f>
        <v/>
      </c>
      <c r="L40" s="22">
        <f>"BUILDABLE: "&amp;$K$38&amp;" | TOTAL REQ: "&amp;H40&amp;" | RECEIVED: "&amp;I40&amp;" | STILL REQUIRED: "&amp;MAX(0,H40-I40)</f>
        <v/>
      </c>
    </row>
    <row r="41" ht="14.25" customHeight="1" s="70">
      <c r="A41" t="n">
        <v>4</v>
      </c>
      <c r="B41" t="n">
        <v>1133</v>
      </c>
      <c r="C41" s="19" t="n">
        <v>4</v>
      </c>
      <c r="D41" s="20" t="inlineStr">
        <is>
          <t>SWING CLAMP 2</t>
        </is>
      </c>
      <c r="E41" s="22" t="n">
        <v>1</v>
      </c>
      <c r="F41" s="14" t="n">
        <v>30</v>
      </c>
      <c r="G41" s="22" t="n"/>
      <c r="H41" s="22">
        <f>F41*E41</f>
        <v/>
      </c>
      <c r="I41" s="22" t="n">
        <v>1</v>
      </c>
      <c r="J41" s="22">
        <f>MAX(0,H41-I41)</f>
        <v/>
      </c>
      <c r="L41" s="22">
        <f>"BUILDABLE: "&amp;$K$38&amp;" | TOTAL REQ: "&amp;H41&amp;" | RECEIVED: "&amp;I41&amp;" | STILL REQUIRED: "&amp;MAX(0,H41-I41)</f>
        <v/>
      </c>
    </row>
    <row r="42" ht="14.25" customHeight="1" s="70">
      <c r="A42" t="n">
        <v>4</v>
      </c>
      <c r="B42" t="n">
        <v>1133</v>
      </c>
      <c r="C42" s="19" t="n">
        <v>5</v>
      </c>
      <c r="D42" s="20" t="inlineStr">
        <is>
          <t xml:space="preserve">LOCTING PIN </t>
        </is>
      </c>
      <c r="E42" s="22" t="n">
        <v>1</v>
      </c>
      <c r="F42" s="14" t="n">
        <v>30</v>
      </c>
      <c r="G42" s="22" t="n"/>
      <c r="H42" s="22">
        <f>F42*E42</f>
        <v/>
      </c>
      <c r="I42" s="22" t="n">
        <v>0</v>
      </c>
      <c r="J42" s="22">
        <f>MAX(0,H42-I42)</f>
        <v/>
      </c>
      <c r="L42" s="22">
        <f>"BUILDABLE: "&amp;$K$38&amp;" | TOTAL REQ: "&amp;H42&amp;" | RECEIVED: "&amp;I42&amp;" | STILL REQUIRED: "&amp;MAX(0,H42-I42)</f>
        <v/>
      </c>
    </row>
    <row r="43" ht="14.25" customHeight="1" s="70">
      <c r="A43" s="17" t="n">
        <v>5</v>
      </c>
      <c r="B43" s="32" t="n">
        <v>1072</v>
      </c>
      <c r="C43" s="19" t="n">
        <v>1</v>
      </c>
      <c r="D43" s="20" t="inlineStr">
        <is>
          <t>BASE PLATE</t>
        </is>
      </c>
      <c r="E43" s="22" t="n">
        <v>1</v>
      </c>
      <c r="F43" s="14" t="n">
        <v>30</v>
      </c>
      <c r="G43" s="22" t="n"/>
      <c r="H43" s="22">
        <f>F43*E43</f>
        <v/>
      </c>
      <c r="I43" s="22" t="n">
        <v>0</v>
      </c>
      <c r="J43" s="22">
        <f>MAX(0,H43-I43)</f>
        <v/>
      </c>
      <c r="K43" s="22">
        <f>MIN(_xlfn.IFERROR(QUOTIENT(I43,E43),0),_xlfn.IFERROR(QUOTIENT(I44,E44),0),_xlfn.IFERROR(QUOTIENT(I45,E45),0),_xlfn.IFERROR(QUOTIENT(I46,E46),0),_xlfn.IFERROR(QUOTIENT(I47,E47),0),_xlfn.IFERROR(QUOTIENT(I48,E48),0),_xlfn.IFERROR(QUOTIENT(I49,E49),0),_xlfn.IFERROR(QUOTIENT(I50,E50),0),_xlfn.IFERROR(QUOTIENT(I51,E51),0),_xlfn.IFERROR(QUOTIENT(I52,E52),0),_xlfn.IFERROR(QUOTIENT(I53,E53),0),_xlfn.IFERROR(QUOTIENT(I54,E54),0),_xlfn.IFERROR(QUOTIENT(I55,E55),0),_xlfn.IFERROR(QUOTIENT(I56,E56),0))</f>
        <v/>
      </c>
      <c r="L43" s="22">
        <f>"BUILDABLE: "&amp;$K$43&amp;" | TOTAL REQ: "&amp;H43&amp;" | RECEIVED: "&amp;I43&amp;" | STILL REQUIRED: "&amp;MAX(0,H43-I43)</f>
        <v/>
      </c>
    </row>
    <row r="44" ht="14.25" customHeight="1" s="70">
      <c r="A44" t="n">
        <v>5</v>
      </c>
      <c r="B44" t="n">
        <v>1072</v>
      </c>
      <c r="C44" s="19" t="n">
        <v>2</v>
      </c>
      <c r="D44" s="20" t="inlineStr">
        <is>
          <t>SUPPORTING PLATE 1</t>
        </is>
      </c>
      <c r="E44" s="22" t="n">
        <v>1</v>
      </c>
      <c r="F44" s="14" t="n">
        <v>30</v>
      </c>
      <c r="G44" s="22" t="n"/>
      <c r="H44" s="22">
        <f>F44*E44</f>
        <v/>
      </c>
      <c r="I44" s="22" t="n"/>
      <c r="J44" s="22">
        <f>MAX(0,H44-I44)</f>
        <v/>
      </c>
      <c r="L44" s="22">
        <f>"BUILDABLE: "&amp;$K$43&amp;" | TOTAL REQ: "&amp;H44&amp;" | RECEIVED: "&amp;I44&amp;" | STILL REQUIRED: "&amp;MAX(0,H44-I44)</f>
        <v/>
      </c>
    </row>
    <row r="45" ht="14.25" customHeight="1" s="70">
      <c r="A45" t="n">
        <v>5</v>
      </c>
      <c r="B45" t="n">
        <v>1072</v>
      </c>
      <c r="C45" s="19" t="n">
        <v>3</v>
      </c>
      <c r="D45" s="20" t="inlineStr">
        <is>
          <t>SUPPORTING PLATE 2</t>
        </is>
      </c>
      <c r="E45" s="22" t="n">
        <v>1</v>
      </c>
      <c r="F45" s="14" t="n">
        <v>30</v>
      </c>
      <c r="G45" s="22" t="n"/>
      <c r="H45" s="22">
        <f>F45*E45</f>
        <v/>
      </c>
      <c r="I45" s="22" t="n"/>
      <c r="J45" s="22">
        <f>MAX(0,H45-I45)</f>
        <v/>
      </c>
      <c r="L45" s="22">
        <f>"BUILDABLE: "&amp;$K$43&amp;" | TOTAL REQ: "&amp;H45&amp;" | RECEIVED: "&amp;I45&amp;" | STILL REQUIRED: "&amp;MAX(0,H45-I45)</f>
        <v/>
      </c>
    </row>
    <row r="46" ht="14.25" customHeight="1" s="70">
      <c r="A46" t="n">
        <v>5</v>
      </c>
      <c r="B46" t="n">
        <v>1072</v>
      </c>
      <c r="C46" s="19" t="n">
        <v>4</v>
      </c>
      <c r="D46" s="20" t="inlineStr">
        <is>
          <t>SUPPORTING PLATE 3</t>
        </is>
      </c>
      <c r="E46" s="22" t="n">
        <v>2</v>
      </c>
      <c r="F46" s="14" t="n">
        <v>30</v>
      </c>
      <c r="G46" s="22" t="n"/>
      <c r="H46" s="22">
        <f>F46*E46</f>
        <v/>
      </c>
      <c r="I46" s="22" t="n"/>
      <c r="J46" s="22">
        <f>MAX(0,H46-I46)</f>
        <v/>
      </c>
      <c r="L46" s="22">
        <f>"BUILDABLE: "&amp;$K$43&amp;" | TOTAL REQ: "&amp;H46&amp;" | RECEIVED: "&amp;I46&amp;" | STILL REQUIRED: "&amp;MAX(0,H46-I46)</f>
        <v/>
      </c>
    </row>
    <row r="47" ht="14.25" customHeight="1" s="70">
      <c r="A47" t="n">
        <v>5</v>
      </c>
      <c r="B47" t="n">
        <v>1072</v>
      </c>
      <c r="C47" s="19" t="n">
        <v>5</v>
      </c>
      <c r="D47" s="20" t="inlineStr">
        <is>
          <t>SUPPORTING PLATE 4</t>
        </is>
      </c>
      <c r="E47" s="22" t="n">
        <v>2</v>
      </c>
      <c r="F47" s="14" t="n">
        <v>30</v>
      </c>
      <c r="G47" s="22" t="n"/>
      <c r="H47" s="22">
        <f>F47*E47</f>
        <v/>
      </c>
      <c r="I47" s="22" t="n"/>
      <c r="J47" s="22">
        <f>MAX(0,H47-I47)</f>
        <v/>
      </c>
      <c r="L47" s="22">
        <f>"BUILDABLE: "&amp;$K$43&amp;" | TOTAL REQ: "&amp;H47&amp;" | RECEIVED: "&amp;I47&amp;" | STILL REQUIRED: "&amp;MAX(0,H47-I47)</f>
        <v/>
      </c>
    </row>
    <row r="48" ht="14.25" customHeight="1" s="70">
      <c r="A48" t="n">
        <v>5</v>
      </c>
      <c r="B48" t="n">
        <v>1072</v>
      </c>
      <c r="C48" s="19" t="n">
        <v>6</v>
      </c>
      <c r="D48" s="20" t="inlineStr">
        <is>
          <t>PLUG 1</t>
        </is>
      </c>
      <c r="E48" s="22" t="n">
        <v>1</v>
      </c>
      <c r="F48" s="14" t="n">
        <v>30</v>
      </c>
      <c r="G48" s="22" t="n"/>
      <c r="H48" s="22">
        <f>F48*E48</f>
        <v/>
      </c>
      <c r="I48" s="22" t="n"/>
      <c r="J48" s="22">
        <f>MAX(0,H48-I48)</f>
        <v/>
      </c>
      <c r="L48" s="22">
        <f>"BUILDABLE: "&amp;$K$43&amp;" | TOTAL REQ: "&amp;H48&amp;" | RECEIVED: "&amp;I48&amp;" | STILL REQUIRED: "&amp;MAX(0,H48-I48)</f>
        <v/>
      </c>
    </row>
    <row r="49" ht="14.25" customHeight="1" s="70">
      <c r="A49" t="n">
        <v>5</v>
      </c>
      <c r="B49" t="n">
        <v>1072</v>
      </c>
      <c r="C49" s="19" t="n">
        <v>7</v>
      </c>
      <c r="D49" s="20" t="inlineStr">
        <is>
          <t>SUPPORTING PLATE 5</t>
        </is>
      </c>
      <c r="E49" s="22" t="n">
        <v>1</v>
      </c>
      <c r="F49" s="14" t="n">
        <v>30</v>
      </c>
      <c r="G49" s="22" t="n"/>
      <c r="H49" s="22">
        <f>F49*E49</f>
        <v/>
      </c>
      <c r="I49" s="22" t="n"/>
      <c r="J49" s="22">
        <f>MAX(0,H49-I49)</f>
        <v/>
      </c>
      <c r="L49" s="22">
        <f>"BUILDABLE: "&amp;$K$43&amp;" | TOTAL REQ: "&amp;H49&amp;" | RECEIVED: "&amp;I49&amp;" | STILL REQUIRED: "&amp;MAX(0,H49-I49)</f>
        <v/>
      </c>
    </row>
    <row r="50" ht="14.25" customHeight="1" s="70">
      <c r="A50" t="n">
        <v>5</v>
      </c>
      <c r="B50" t="n">
        <v>1072</v>
      </c>
      <c r="C50" s="19" t="n">
        <v>8</v>
      </c>
      <c r="D50" s="20" t="inlineStr">
        <is>
          <t>PLUG 2</t>
        </is>
      </c>
      <c r="E50" s="22" t="n">
        <v>1</v>
      </c>
      <c r="F50" s="14" t="n">
        <v>30</v>
      </c>
      <c r="G50" s="22" t="n"/>
      <c r="H50" s="22">
        <f>F50*E50</f>
        <v/>
      </c>
      <c r="I50" s="22" t="n"/>
      <c r="J50" s="22">
        <f>MAX(0,H50-I50)</f>
        <v/>
      </c>
      <c r="L50" s="22">
        <f>"BUILDABLE: "&amp;$K$43&amp;" | TOTAL REQ: "&amp;H50&amp;" | RECEIVED: "&amp;I50&amp;" | STILL REQUIRED: "&amp;MAX(0,H50-I50)</f>
        <v/>
      </c>
    </row>
    <row r="51" ht="14.25" customHeight="1" s="70">
      <c r="A51" t="n">
        <v>5</v>
      </c>
      <c r="B51" t="n">
        <v>1072</v>
      </c>
      <c r="C51" s="19" t="n">
        <v>9</v>
      </c>
      <c r="D51" s="20" t="inlineStr">
        <is>
          <t>SUPPORTING PLATE 6</t>
        </is>
      </c>
      <c r="E51" s="22" t="n">
        <v>1</v>
      </c>
      <c r="F51" s="14" t="n">
        <v>30</v>
      </c>
      <c r="G51" s="22" t="n"/>
      <c r="H51" s="22">
        <f>F51*E51</f>
        <v/>
      </c>
      <c r="I51" s="22" t="n"/>
      <c r="J51" s="22">
        <f>MAX(0,H51-I51)</f>
        <v/>
      </c>
      <c r="L51" s="22">
        <f>"BUILDABLE: "&amp;$K$43&amp;" | TOTAL REQ: "&amp;H51&amp;" | RECEIVED: "&amp;I51&amp;" | STILL REQUIRED: "&amp;MAX(0,H51-I51)</f>
        <v/>
      </c>
    </row>
    <row r="52" ht="14.25" customHeight="1" s="70">
      <c r="A52" t="n">
        <v>5</v>
      </c>
      <c r="B52" t="n">
        <v>1072</v>
      </c>
      <c r="C52" s="19" t="n">
        <v>10</v>
      </c>
      <c r="D52" s="20" t="inlineStr">
        <is>
          <t>SUPPORTING PLATE 7</t>
        </is>
      </c>
      <c r="E52" s="22" t="n">
        <v>1</v>
      </c>
      <c r="F52" s="14" t="n">
        <v>30</v>
      </c>
      <c r="G52" s="22" t="n"/>
      <c r="H52" s="22">
        <f>F52*E52</f>
        <v/>
      </c>
      <c r="I52" s="22" t="n"/>
      <c r="J52" s="22">
        <f>MAX(0,H52-I52)</f>
        <v/>
      </c>
      <c r="L52" s="22">
        <f>"BUILDABLE: "&amp;$K$43&amp;" | TOTAL REQ: "&amp;H52&amp;" | RECEIVED: "&amp;I52&amp;" | STILL REQUIRED: "&amp;MAX(0,H52-I52)</f>
        <v/>
      </c>
    </row>
    <row r="53" ht="14.25" customHeight="1" s="70">
      <c r="A53" t="n">
        <v>5</v>
      </c>
      <c r="B53" t="n">
        <v>1072</v>
      </c>
      <c r="C53" s="19" t="n">
        <v>11</v>
      </c>
      <c r="D53" s="20" t="inlineStr">
        <is>
          <t>SUPPORTING PLATE 8</t>
        </is>
      </c>
      <c r="E53" s="22" t="n">
        <v>1</v>
      </c>
      <c r="F53" s="14" t="n">
        <v>30</v>
      </c>
      <c r="G53" s="22" t="n"/>
      <c r="H53" s="22">
        <f>F53*E53</f>
        <v/>
      </c>
      <c r="I53" s="22" t="n"/>
      <c r="J53" s="22">
        <f>MAX(0,H53-I53)</f>
        <v/>
      </c>
      <c r="L53" s="22">
        <f>"BUILDABLE: "&amp;$K$43&amp;" | TOTAL REQ: "&amp;H53&amp;" | RECEIVED: "&amp;I53&amp;" | STILL REQUIRED: "&amp;MAX(0,H53-I53)</f>
        <v/>
      </c>
    </row>
    <row r="54" ht="14.25" customHeight="1" s="70">
      <c r="A54" t="n">
        <v>5</v>
      </c>
      <c r="B54" t="n">
        <v>1072</v>
      </c>
      <c r="C54" s="19" t="n">
        <v>12</v>
      </c>
      <c r="D54" s="20" t="inlineStr">
        <is>
          <t>SUPPORTING PLATE 9</t>
        </is>
      </c>
      <c r="E54" s="22" t="n">
        <v>1</v>
      </c>
      <c r="F54" s="14" t="n">
        <v>30</v>
      </c>
      <c r="G54" s="22" t="n"/>
      <c r="H54" s="22">
        <f>F54*E54</f>
        <v/>
      </c>
      <c r="I54" s="22" t="n"/>
      <c r="J54" s="22">
        <f>MAX(0,H54-I54)</f>
        <v/>
      </c>
      <c r="L54" s="22">
        <f>"BUILDABLE: "&amp;$K$43&amp;" | TOTAL REQ: "&amp;H54&amp;" | RECEIVED: "&amp;I54&amp;" | STILL REQUIRED: "&amp;MAX(0,H54-I54)</f>
        <v/>
      </c>
    </row>
    <row r="55" ht="14.25" customHeight="1" s="70">
      <c r="A55" t="n">
        <v>5</v>
      </c>
      <c r="B55" t="n">
        <v>1072</v>
      </c>
      <c r="C55" s="19" t="n">
        <v>13</v>
      </c>
      <c r="D55" s="20" t="inlineStr">
        <is>
          <t>SUPPORTING PLATE 10</t>
        </is>
      </c>
      <c r="E55" s="22" t="n">
        <v>1</v>
      </c>
      <c r="F55" s="14" t="n">
        <v>30</v>
      </c>
      <c r="G55" s="22" t="n"/>
      <c r="H55" s="22">
        <f>F55*E55</f>
        <v/>
      </c>
      <c r="I55" s="22" t="n"/>
      <c r="J55" s="22">
        <f>MAX(0,H55-I55)</f>
        <v/>
      </c>
      <c r="L55" s="22">
        <f>"BUILDABLE: "&amp;$K$43&amp;" | TOTAL REQ: "&amp;H55&amp;" | RECEIVED: "&amp;I55&amp;" | STILL REQUIRED: "&amp;MAX(0,H55-I55)</f>
        <v/>
      </c>
    </row>
    <row r="56" ht="14.25" customHeight="1" s="70">
      <c r="A56" t="n">
        <v>5</v>
      </c>
      <c r="B56" t="n">
        <v>1072</v>
      </c>
      <c r="C56" s="19" t="n">
        <v>14</v>
      </c>
      <c r="D56" s="20" t="inlineStr">
        <is>
          <t>PLUG 3</t>
        </is>
      </c>
      <c r="E56" s="22" t="n">
        <v>1</v>
      </c>
      <c r="F56" s="14" t="n">
        <v>30</v>
      </c>
      <c r="G56" s="22" t="n"/>
      <c r="H56" s="22">
        <f>F56*E56</f>
        <v/>
      </c>
      <c r="I56" s="22" t="n"/>
      <c r="J56" s="22">
        <f>MAX(0,H56-I56)</f>
        <v/>
      </c>
      <c r="L56" s="22">
        <f>"BUILDABLE: "&amp;$K$43&amp;" | TOTAL REQ: "&amp;H56&amp;" | RECEIVED: "&amp;I56&amp;" | STILL REQUIRED: "&amp;MAX(0,H56-I56)</f>
        <v/>
      </c>
    </row>
    <row r="57" ht="14.25" customHeight="1" s="70">
      <c r="A57" s="17" t="n">
        <v>6</v>
      </c>
      <c r="B57" s="32" t="n">
        <v>1033</v>
      </c>
      <c r="C57" s="19" t="n">
        <v>1</v>
      </c>
      <c r="D57" s="20" t="inlineStr">
        <is>
          <t>FLAG PROFILE BLOCK</t>
        </is>
      </c>
      <c r="E57" s="22" t="n">
        <v>1</v>
      </c>
      <c r="F57" s="14" t="n">
        <v>30</v>
      </c>
      <c r="G57" s="22" t="n"/>
      <c r="H57" s="22">
        <f>F57*E57</f>
        <v/>
      </c>
      <c r="I57" s="22" t="n">
        <v>1</v>
      </c>
      <c r="J57" s="22">
        <f>MAX(0,H57-I57)</f>
        <v/>
      </c>
      <c r="K57" s="22">
        <f>MIN(_xlfn.IFERROR(QUOTIENT(I57,E57),0),_xlfn.IFERROR(QUOTIENT(I58,E58),0))</f>
        <v/>
      </c>
      <c r="L57" s="22">
        <f>"BUILDABLE: "&amp;$K$57&amp;" | TOTAL REQ: "&amp;H57&amp;" | RECEIVED: "&amp;I57&amp;" | STILL REQUIRED: "&amp;MAX(0,H57-I57)</f>
        <v/>
      </c>
    </row>
    <row r="58" ht="14.25" customHeight="1" s="70">
      <c r="A58" t="n">
        <v>6</v>
      </c>
      <c r="B58" t="n">
        <v>1033</v>
      </c>
      <c r="C58" s="19" t="n">
        <v>2</v>
      </c>
      <c r="D58" s="20" t="inlineStr">
        <is>
          <t xml:space="preserve">SUPPORTING RING </t>
        </is>
      </c>
      <c r="E58" s="22" t="n">
        <v>1</v>
      </c>
      <c r="F58" s="14" t="n">
        <v>30</v>
      </c>
      <c r="G58" s="22" t="n"/>
      <c r="H58" s="22">
        <f>F58*E58</f>
        <v/>
      </c>
      <c r="I58" s="22" t="n">
        <v>0</v>
      </c>
      <c r="J58" s="22">
        <f>MAX(0,H58-I58)</f>
        <v/>
      </c>
      <c r="L58" s="22">
        <f>"BUILDABLE: "&amp;$K$57&amp;" | TOTAL REQ: "&amp;H58&amp;" | RECEIVED: "&amp;I58&amp;" | STILL REQUIRED: "&amp;MAX(0,H58-I58)</f>
        <v/>
      </c>
    </row>
    <row r="59" ht="14.25" customHeight="1" s="70">
      <c r="A59" s="17" t="n">
        <v>7</v>
      </c>
      <c r="B59" s="32" t="n">
        <v>1034</v>
      </c>
      <c r="C59" s="19" t="n">
        <v>1</v>
      </c>
      <c r="D59" s="20" t="inlineStr">
        <is>
          <t xml:space="preserve">BOTTOM PLATE </t>
        </is>
      </c>
      <c r="E59" s="22" t="n">
        <v>1</v>
      </c>
      <c r="F59" s="14" t="n">
        <v>30</v>
      </c>
      <c r="G59" s="22" t="n"/>
      <c r="H59" s="22">
        <f>F59*E59</f>
        <v/>
      </c>
      <c r="I59" s="22" t="n">
        <v>0</v>
      </c>
      <c r="J59" s="22">
        <f>MAX(0,H59-I59)</f>
        <v/>
      </c>
      <c r="K59" s="22">
        <f>MIN(_xlfn.IFERROR(QUOTIENT(I59,E59),0),_xlfn.IFERROR(QUOTIENT(I60,E60),0),_xlfn.IFERROR(QUOTIENT(I61,E61),0),_xlfn.IFERROR(QUOTIENT(I62,E62),0),_xlfn.IFERROR(QUOTIENT(I63,E63),0),_xlfn.IFERROR(QUOTIENT(I64,E64),0),_xlfn.IFERROR(QUOTIENT(I65,E65),0),_xlfn.IFERROR(QUOTIENT(I66,E66),0))</f>
        <v/>
      </c>
      <c r="L59" s="22">
        <f>"BUILDABLE: "&amp;$K$59&amp;" | TOTAL REQ: "&amp;H59&amp;" | RECEIVED: "&amp;I59&amp;" | STILL REQUIRED: "&amp;MAX(0,H59-I59)</f>
        <v/>
      </c>
    </row>
    <row r="60" ht="14.25" customHeight="1" s="70">
      <c r="A60" t="n">
        <v>7</v>
      </c>
      <c r="B60" t="n">
        <v>1034</v>
      </c>
      <c r="C60" s="19" t="n">
        <v>2</v>
      </c>
      <c r="D60" s="20" t="inlineStr">
        <is>
          <t>UPPER BLOCK</t>
        </is>
      </c>
      <c r="E60" s="22" t="n">
        <v>1</v>
      </c>
      <c r="F60" s="14" t="n">
        <v>30</v>
      </c>
      <c r="G60" s="22" t="n"/>
      <c r="H60" s="22">
        <f>F60*E60</f>
        <v/>
      </c>
      <c r="I60" s="22" t="n">
        <v>0</v>
      </c>
      <c r="J60" s="22">
        <f>MAX(0,H60-I60)</f>
        <v/>
      </c>
      <c r="L60" s="22">
        <f>"BUILDABLE: "&amp;$K$59&amp;" | TOTAL REQ: "&amp;H60&amp;" | RECEIVED: "&amp;I60&amp;" | STILL REQUIRED: "&amp;MAX(0,H60-I60)</f>
        <v/>
      </c>
    </row>
    <row r="61" ht="14.25" customHeight="1" s="70">
      <c r="A61" t="n">
        <v>7</v>
      </c>
      <c r="B61" t="n">
        <v>1034</v>
      </c>
      <c r="C61" s="19" t="n">
        <v>3</v>
      </c>
      <c r="D61" s="20" t="inlineStr">
        <is>
          <t>DIE BLOCK</t>
        </is>
      </c>
      <c r="E61" s="22" t="n">
        <v>1</v>
      </c>
      <c r="F61" s="14" t="n">
        <v>30</v>
      </c>
      <c r="G61" s="22" t="n"/>
      <c r="H61" s="22">
        <f>F61*E61</f>
        <v/>
      </c>
      <c r="I61" s="22" t="n">
        <v>0</v>
      </c>
      <c r="J61" s="22">
        <f>MAX(0,H61-I61)</f>
        <v/>
      </c>
      <c r="L61" s="22">
        <f>"BUILDABLE: "&amp;$K$59&amp;" | TOTAL REQ: "&amp;H61&amp;" | RECEIVED: "&amp;I61&amp;" | STILL REQUIRED: "&amp;MAX(0,H61-I61)</f>
        <v/>
      </c>
    </row>
    <row r="62" ht="14.25" customHeight="1" s="70">
      <c r="A62" t="n">
        <v>7</v>
      </c>
      <c r="B62" t="n">
        <v>1034</v>
      </c>
      <c r="C62" s="19" t="n">
        <v>4</v>
      </c>
      <c r="D62" s="20" t="inlineStr">
        <is>
          <t>TAPER PUNCH</t>
        </is>
      </c>
      <c r="E62" s="22" t="n">
        <v>1</v>
      </c>
      <c r="F62" s="14" t="n">
        <v>30</v>
      </c>
      <c r="G62" s="22" t="n"/>
      <c r="H62" s="22">
        <f>F62*E62</f>
        <v/>
      </c>
      <c r="I62" s="22" t="n">
        <v>0</v>
      </c>
      <c r="J62" s="22">
        <f>MAX(0,H62-I62)</f>
        <v/>
      </c>
      <c r="L62" s="22">
        <f>"BUILDABLE: "&amp;$K$59&amp;" | TOTAL REQ: "&amp;H62&amp;" | RECEIVED: "&amp;I62&amp;" | STILL REQUIRED: "&amp;MAX(0,H62-I62)</f>
        <v/>
      </c>
    </row>
    <row r="63" ht="14.25" customHeight="1" s="70">
      <c r="A63" t="n">
        <v>7</v>
      </c>
      <c r="B63" t="n">
        <v>1034</v>
      </c>
      <c r="C63" s="19" t="n">
        <v>5</v>
      </c>
      <c r="D63" s="20" t="inlineStr">
        <is>
          <t>TOP PLATE</t>
        </is>
      </c>
      <c r="E63" s="22" t="n">
        <v>1</v>
      </c>
      <c r="F63" s="14" t="n">
        <v>30</v>
      </c>
      <c r="G63" s="22" t="n"/>
      <c r="H63" s="22">
        <f>F63*E63</f>
        <v/>
      </c>
      <c r="I63" s="22" t="n">
        <v>0</v>
      </c>
      <c r="J63" s="22">
        <f>MAX(0,H63-I63)</f>
        <v/>
      </c>
      <c r="L63" s="22">
        <f>"BUILDABLE: "&amp;$K$59&amp;" | TOTAL REQ: "&amp;H63&amp;" | RECEIVED: "&amp;I63&amp;" | STILL REQUIRED: "&amp;MAX(0,H63-I63)</f>
        <v/>
      </c>
    </row>
    <row r="64" ht="14.25" customHeight="1" s="70">
      <c r="A64" t="n">
        <v>7</v>
      </c>
      <c r="B64" t="n">
        <v>1034</v>
      </c>
      <c r="C64" s="19" t="n">
        <v>6</v>
      </c>
      <c r="D64" s="20" t="inlineStr">
        <is>
          <t>PUNCH</t>
        </is>
      </c>
      <c r="E64" s="22" t="n">
        <v>1</v>
      </c>
      <c r="F64" s="14" t="n">
        <v>30</v>
      </c>
      <c r="G64" s="22" t="n"/>
      <c r="H64" s="22">
        <f>F64*E64</f>
        <v/>
      </c>
      <c r="I64" s="22" t="n">
        <v>0</v>
      </c>
      <c r="J64" s="22">
        <f>MAX(0,H64-I64)</f>
        <v/>
      </c>
      <c r="L64" s="22">
        <f>"BUILDABLE: "&amp;$K$59&amp;" | TOTAL REQ: "&amp;H64&amp;" | RECEIVED: "&amp;I64&amp;" | STILL REQUIRED: "&amp;MAX(0,H64-I64)</f>
        <v/>
      </c>
    </row>
    <row r="65" ht="14.25" customHeight="1" s="70">
      <c r="A65" t="n">
        <v>7</v>
      </c>
      <c r="B65" t="n">
        <v>1034</v>
      </c>
      <c r="C65" s="19" t="n">
        <v>7</v>
      </c>
      <c r="D65" s="20" t="inlineStr">
        <is>
          <t>BLANCK HOLDER</t>
        </is>
      </c>
      <c r="E65" s="22" t="n">
        <v>1</v>
      </c>
      <c r="F65" s="14" t="n">
        <v>30</v>
      </c>
      <c r="G65" s="22" t="n"/>
      <c r="H65" s="22">
        <f>F65*E65</f>
        <v/>
      </c>
      <c r="I65" s="22" t="n">
        <v>0</v>
      </c>
      <c r="J65" s="22">
        <f>MAX(0,H65-I65)</f>
        <v/>
      </c>
      <c r="L65" s="22">
        <f>"BUILDABLE: "&amp;$K$59&amp;" | TOTAL REQ: "&amp;H65&amp;" | RECEIVED: "&amp;I65&amp;" | STILL REQUIRED: "&amp;MAX(0,H65-I65)</f>
        <v/>
      </c>
    </row>
    <row r="66" ht="14.25" customHeight="1" s="70">
      <c r="A66" t="n">
        <v>7</v>
      </c>
      <c r="B66" t="n">
        <v>1034</v>
      </c>
      <c r="C66" s="19" t="n">
        <v>8</v>
      </c>
      <c r="D66" s="20" t="inlineStr">
        <is>
          <t xml:space="preserve">BOTTOM PLATE </t>
        </is>
      </c>
      <c r="E66" s="22" t="n">
        <v>1</v>
      </c>
      <c r="F66" s="14" t="n">
        <v>30</v>
      </c>
      <c r="G66" s="22" t="n"/>
      <c r="H66" s="22">
        <f>F66*E66</f>
        <v/>
      </c>
      <c r="I66" s="22" t="n">
        <v>0</v>
      </c>
      <c r="J66" s="22">
        <f>MAX(0,H66-I66)</f>
        <v/>
      </c>
      <c r="L66" s="22">
        <f>"BUILDABLE: "&amp;$K$59&amp;" | TOTAL REQ: "&amp;H66&amp;" | RECEIVED: "&amp;I66&amp;" | STILL REQUIRED: "&amp;MAX(0,H66-I66)</f>
        <v/>
      </c>
    </row>
    <row r="67" ht="14.25" customHeight="1" s="70">
      <c r="A67" s="17" t="n">
        <v>8</v>
      </c>
      <c r="B67" s="32" t="n">
        <v>1035</v>
      </c>
      <c r="C67" s="19" t="n">
        <v>1</v>
      </c>
      <c r="D67" s="20" t="inlineStr">
        <is>
          <t xml:space="preserve">BOTTOM PLATE </t>
        </is>
      </c>
      <c r="E67" s="22" t="n">
        <v>1</v>
      </c>
      <c r="F67" s="14" t="n">
        <v>30</v>
      </c>
      <c r="G67" s="22" t="n"/>
      <c r="H67" s="22">
        <f>F67*E67</f>
        <v/>
      </c>
      <c r="I67" s="22" t="n">
        <v>0</v>
      </c>
      <c r="J67" s="22">
        <f>MAX(0,H67-I67)</f>
        <v/>
      </c>
      <c r="K67" s="22">
        <f>MIN(_xlfn.IFERROR(QUOTIENT(I67,E67),0),_xlfn.IFERROR(QUOTIENT(I68,E68),0),_xlfn.IFERROR(QUOTIENT(I69,E69),0),_xlfn.IFERROR(QUOTIENT(I70,E70),0),_xlfn.IFERROR(QUOTIENT(I71,E71),0),_xlfn.IFERROR(QUOTIENT(I72,E72),0),_xlfn.IFERROR(QUOTIENT(I73,E73),0),_xlfn.IFERROR(QUOTIENT(I74,E74),0))</f>
        <v/>
      </c>
      <c r="L67" s="22">
        <f>"BUILDABLE: "&amp;$K$67&amp;" | TOTAL REQ: "&amp;H67&amp;" | RECEIVED: "&amp;I67&amp;" | STILL REQUIRED: "&amp;MAX(0,H67-I67)</f>
        <v/>
      </c>
    </row>
    <row r="68" ht="14.25" customHeight="1" s="70">
      <c r="A68" t="n">
        <v>8</v>
      </c>
      <c r="B68" t="n">
        <v>1035</v>
      </c>
      <c r="C68" s="19" t="n">
        <v>2</v>
      </c>
      <c r="D68" s="20" t="inlineStr">
        <is>
          <t>UPPER DIE</t>
        </is>
      </c>
      <c r="E68" s="22" t="n">
        <v>1</v>
      </c>
      <c r="F68" s="14" t="n">
        <v>30</v>
      </c>
      <c r="G68" s="22" t="n"/>
      <c r="H68" s="22">
        <f>F68*E68</f>
        <v/>
      </c>
      <c r="I68" s="22" t="n">
        <v>0</v>
      </c>
      <c r="J68" s="22">
        <f>MAX(0,H68-I68)</f>
        <v/>
      </c>
      <c r="L68" s="22">
        <f>"BUILDABLE: "&amp;$K$67&amp;" | TOTAL REQ: "&amp;H68&amp;" | RECEIVED: "&amp;I68&amp;" | STILL REQUIRED: "&amp;MAX(0,H68-I68)</f>
        <v/>
      </c>
    </row>
    <row r="69" ht="14.25" customHeight="1" s="70">
      <c r="A69" t="n">
        <v>8</v>
      </c>
      <c r="B69" t="n">
        <v>1035</v>
      </c>
      <c r="C69" s="19" t="n">
        <v>3</v>
      </c>
      <c r="D69" s="20" t="inlineStr">
        <is>
          <t>DIE BLOCK</t>
        </is>
      </c>
      <c r="E69" s="22" t="n">
        <v>1</v>
      </c>
      <c r="F69" s="14" t="n">
        <v>30</v>
      </c>
      <c r="G69" s="22" t="n"/>
      <c r="H69" s="22">
        <f>F69*E69</f>
        <v/>
      </c>
      <c r="I69" s="22" t="n">
        <v>0</v>
      </c>
      <c r="J69" s="22">
        <f>MAX(0,H69-I69)</f>
        <v/>
      </c>
      <c r="L69" s="22">
        <f>"BUILDABLE: "&amp;$K$67&amp;" | TOTAL REQ: "&amp;H69&amp;" | RECEIVED: "&amp;I69&amp;" | STILL REQUIRED: "&amp;MAX(0,H69-I69)</f>
        <v/>
      </c>
    </row>
    <row r="70" ht="14.25" customHeight="1" s="70">
      <c r="A70" t="n">
        <v>8</v>
      </c>
      <c r="B70" t="n">
        <v>1035</v>
      </c>
      <c r="C70" s="19" t="n">
        <v>4</v>
      </c>
      <c r="D70" s="20" t="inlineStr">
        <is>
          <t>TAPER PUNCH 2</t>
        </is>
      </c>
      <c r="E70" s="22" t="n">
        <v>1</v>
      </c>
      <c r="F70" s="14" t="n">
        <v>30</v>
      </c>
      <c r="G70" s="22" t="n"/>
      <c r="H70" s="22">
        <f>F70*E70</f>
        <v/>
      </c>
      <c r="I70" s="22" t="n">
        <v>0</v>
      </c>
      <c r="J70" s="22">
        <f>MAX(0,H70-I70)</f>
        <v/>
      </c>
      <c r="L70" s="22">
        <f>"BUILDABLE: "&amp;$K$67&amp;" | TOTAL REQ: "&amp;H70&amp;" | RECEIVED: "&amp;I70&amp;" | STILL REQUIRED: "&amp;MAX(0,H70-I70)</f>
        <v/>
      </c>
    </row>
    <row r="71" ht="14.25" customHeight="1" s="70">
      <c r="A71" t="n">
        <v>8</v>
      </c>
      <c r="B71" t="n">
        <v>1035</v>
      </c>
      <c r="C71" s="19" t="n">
        <v>5</v>
      </c>
      <c r="D71" s="20" t="inlineStr">
        <is>
          <t>TOP PLATE</t>
        </is>
      </c>
      <c r="E71" s="22" t="n">
        <v>1</v>
      </c>
      <c r="F71" s="14" t="n">
        <v>30</v>
      </c>
      <c r="G71" s="22" t="n"/>
      <c r="H71" s="22">
        <f>F71*E71</f>
        <v/>
      </c>
      <c r="I71" s="22" t="n">
        <v>0</v>
      </c>
      <c r="J71" s="22">
        <f>MAX(0,H71-I71)</f>
        <v/>
      </c>
      <c r="L71" s="22">
        <f>"BUILDABLE: "&amp;$K$67&amp;" | TOTAL REQ: "&amp;H71&amp;" | RECEIVED: "&amp;I71&amp;" | STILL REQUIRED: "&amp;MAX(0,H71-I71)</f>
        <v/>
      </c>
    </row>
    <row r="72" ht="14.25" customHeight="1" s="70">
      <c r="A72" t="n">
        <v>8</v>
      </c>
      <c r="B72" t="n">
        <v>1035</v>
      </c>
      <c r="C72" s="19" t="n">
        <v>6</v>
      </c>
      <c r="D72" s="20" t="inlineStr">
        <is>
          <t>PUNCH 2</t>
        </is>
      </c>
      <c r="E72" s="22" t="n">
        <v>1</v>
      </c>
      <c r="F72" s="14" t="n">
        <v>30</v>
      </c>
      <c r="G72" s="22" t="n"/>
      <c r="H72" s="22">
        <f>F72*E72</f>
        <v/>
      </c>
      <c r="I72" s="22" t="n">
        <v>0</v>
      </c>
      <c r="J72" s="22">
        <f>MAX(0,H72-I72)</f>
        <v/>
      </c>
      <c r="L72" s="22">
        <f>"BUILDABLE: "&amp;$K$67&amp;" | TOTAL REQ: "&amp;H72&amp;" | RECEIVED: "&amp;I72&amp;" | STILL REQUIRED: "&amp;MAX(0,H72-I72)</f>
        <v/>
      </c>
    </row>
    <row r="73" ht="14.25" customHeight="1" s="70">
      <c r="A73" t="n">
        <v>8</v>
      </c>
      <c r="B73" t="n">
        <v>1035</v>
      </c>
      <c r="C73" s="19" t="n">
        <v>7</v>
      </c>
      <c r="D73" s="20" t="inlineStr">
        <is>
          <t>BLANCK HOLDER</t>
        </is>
      </c>
      <c r="E73" s="22" t="n">
        <v>1</v>
      </c>
      <c r="F73" s="14" t="n">
        <v>30</v>
      </c>
      <c r="G73" s="22" t="n"/>
      <c r="H73" s="22">
        <f>F73*E73</f>
        <v/>
      </c>
      <c r="I73" s="22" t="n">
        <v>0</v>
      </c>
      <c r="J73" s="22">
        <f>MAX(0,H73-I73)</f>
        <v/>
      </c>
      <c r="L73" s="22">
        <f>"BUILDABLE: "&amp;$K$67&amp;" | TOTAL REQ: "&amp;H73&amp;" | RECEIVED: "&amp;I73&amp;" | STILL REQUIRED: "&amp;MAX(0,H73-I73)</f>
        <v/>
      </c>
    </row>
    <row r="74" ht="14.25" customHeight="1" s="70">
      <c r="A74" t="n">
        <v>8</v>
      </c>
      <c r="B74" t="n">
        <v>1035</v>
      </c>
      <c r="C74" s="19" t="n">
        <v>8</v>
      </c>
      <c r="D74" s="20" t="inlineStr">
        <is>
          <t xml:space="preserve">BOTTOM PLATE </t>
        </is>
      </c>
      <c r="E74" s="22" t="n">
        <v>1</v>
      </c>
      <c r="F74" s="14" t="n">
        <v>30</v>
      </c>
      <c r="G74" s="22" t="n"/>
      <c r="H74" s="22">
        <f>F74*E74</f>
        <v/>
      </c>
      <c r="I74" s="22" t="n">
        <v>0</v>
      </c>
      <c r="J74" s="22">
        <f>MAX(0,H74-I74)</f>
        <v/>
      </c>
      <c r="L74" s="22">
        <f>"BUILDABLE: "&amp;$K$67&amp;" | TOTAL REQ: "&amp;H74&amp;" | RECEIVED: "&amp;I74&amp;" | STILL REQUIRED: "&amp;MAX(0,H74-I74)</f>
        <v/>
      </c>
    </row>
    <row r="75" ht="14.25" customHeight="1" s="70">
      <c r="A75" s="17" t="n">
        <v>9</v>
      </c>
      <c r="B75" s="32" t="n">
        <v>1036</v>
      </c>
      <c r="C75" s="19" t="n">
        <v>1</v>
      </c>
      <c r="D75" s="20" t="inlineStr">
        <is>
          <t>ROLLER 1</t>
        </is>
      </c>
      <c r="E75" s="22" t="n">
        <v>1</v>
      </c>
      <c r="F75" s="14" t="n">
        <v>30</v>
      </c>
      <c r="G75" s="22" t="n"/>
      <c r="H75" s="22">
        <f>F75*E75</f>
        <v/>
      </c>
      <c r="I75" s="22" t="n">
        <v>0</v>
      </c>
      <c r="J75" s="22">
        <f>MAX(0,H75-I75)</f>
        <v/>
      </c>
      <c r="K75" s="22">
        <f>MIN(_xlfn.IFERROR(QUOTIENT(I75,E75),0),_xlfn.IFERROR(QUOTIENT(I76,E76),0),_xlfn.IFERROR(QUOTIENT(I77,E77),0),_xlfn.IFERROR(QUOTIENT(I78,E78),0),_xlfn.IFERROR(QUOTIENT(I79,E79),0),_xlfn.IFERROR(QUOTIENT(I80,E80),0),_xlfn.IFERROR(QUOTIENT(I81,E81),0))</f>
        <v/>
      </c>
      <c r="L75" s="22">
        <f>"BUILDABLE: "&amp;$K$75&amp;" | TOTAL REQ: "&amp;H75&amp;" | RECEIVED: "&amp;I75&amp;" | STILL REQUIRED: "&amp;MAX(0,H75-I75)</f>
        <v/>
      </c>
    </row>
    <row r="76" ht="14.25" customHeight="1" s="70">
      <c r="A76" t="n">
        <v>9</v>
      </c>
      <c r="B76" t="n">
        <v>1036</v>
      </c>
      <c r="C76" s="19" t="n">
        <v>2</v>
      </c>
      <c r="D76" s="20" t="inlineStr">
        <is>
          <t xml:space="preserve">ROLLER 2 </t>
        </is>
      </c>
      <c r="E76" s="22" t="n">
        <v>1</v>
      </c>
      <c r="F76" s="14" t="n">
        <v>30</v>
      </c>
      <c r="G76" s="22" t="n"/>
      <c r="H76" s="22">
        <f>F76*E76</f>
        <v/>
      </c>
      <c r="I76" s="22" t="n">
        <v>0</v>
      </c>
      <c r="J76" s="22">
        <f>MAX(0,H76-I76)</f>
        <v/>
      </c>
      <c r="L76" s="22">
        <f>"BUILDABLE: "&amp;$K$75&amp;" | TOTAL REQ: "&amp;H76&amp;" | RECEIVED: "&amp;I76&amp;" | STILL REQUIRED: "&amp;MAX(0,H76-I76)</f>
        <v/>
      </c>
    </row>
    <row r="77" ht="14.25" customHeight="1" s="70">
      <c r="A77" t="n">
        <v>9</v>
      </c>
      <c r="B77" t="n">
        <v>1036</v>
      </c>
      <c r="C77" s="19" t="n">
        <v>3</v>
      </c>
      <c r="D77" s="20" t="inlineStr">
        <is>
          <t>PLATE</t>
        </is>
      </c>
      <c r="E77" s="22" t="n">
        <v>1</v>
      </c>
      <c r="F77" s="14" t="n">
        <v>30</v>
      </c>
      <c r="G77" s="22" t="n"/>
      <c r="H77" s="22">
        <f>F77*E77</f>
        <v/>
      </c>
      <c r="I77" s="22" t="n">
        <v>0</v>
      </c>
      <c r="J77" s="22">
        <f>MAX(0,H77-I77)</f>
        <v/>
      </c>
      <c r="L77" s="22">
        <f>"BUILDABLE: "&amp;$K$75&amp;" | TOTAL REQ: "&amp;H77&amp;" | RECEIVED: "&amp;I77&amp;" | STILL REQUIRED: "&amp;MAX(0,H77-I77)</f>
        <v/>
      </c>
    </row>
    <row r="78" ht="14.25" customHeight="1" s="70">
      <c r="A78" t="n">
        <v>9</v>
      </c>
      <c r="B78" t="n">
        <v>1036</v>
      </c>
      <c r="C78" s="19" t="n">
        <v>4</v>
      </c>
      <c r="D78" s="20" t="inlineStr">
        <is>
          <t>HOLDIING ROD</t>
        </is>
      </c>
      <c r="E78" s="22" t="n">
        <v>1</v>
      </c>
      <c r="F78" s="14" t="n">
        <v>30</v>
      </c>
      <c r="G78" s="22" t="n"/>
      <c r="H78" s="22">
        <f>F78*E78</f>
        <v/>
      </c>
      <c r="I78" s="22" t="n">
        <v>0</v>
      </c>
      <c r="J78" s="22">
        <f>MAX(0,H78-I78)</f>
        <v/>
      </c>
      <c r="L78" s="22">
        <f>"BUILDABLE: "&amp;$K$75&amp;" | TOTAL REQ: "&amp;H78&amp;" | RECEIVED: "&amp;I78&amp;" | STILL REQUIRED: "&amp;MAX(0,H78-I78)</f>
        <v/>
      </c>
    </row>
    <row r="79" ht="14.25" customHeight="1" s="70">
      <c r="A79" t="n">
        <v>9</v>
      </c>
      <c r="B79" t="n">
        <v>1036</v>
      </c>
      <c r="C79" s="19" t="n">
        <v>5</v>
      </c>
      <c r="D79" s="20" t="inlineStr">
        <is>
          <t>PIN 1</t>
        </is>
      </c>
      <c r="E79" s="22" t="n">
        <v>1</v>
      </c>
      <c r="F79" s="14" t="n">
        <v>30</v>
      </c>
      <c r="G79" s="22" t="n"/>
      <c r="H79" s="22">
        <f>F79*E79</f>
        <v/>
      </c>
      <c r="I79" s="22" t="n">
        <v>0</v>
      </c>
      <c r="J79" s="22">
        <f>MAX(0,H79-I79)</f>
        <v/>
      </c>
      <c r="L79" s="22">
        <f>"BUILDABLE: "&amp;$K$75&amp;" | TOTAL REQ: "&amp;H79&amp;" | RECEIVED: "&amp;I79&amp;" | STILL REQUIRED: "&amp;MAX(0,H79-I79)</f>
        <v/>
      </c>
    </row>
    <row r="80" ht="14.25" customHeight="1" s="70">
      <c r="A80" t="n">
        <v>9</v>
      </c>
      <c r="B80" t="n">
        <v>1036</v>
      </c>
      <c r="C80" s="19" t="n">
        <v>6</v>
      </c>
      <c r="D80" s="20" t="inlineStr">
        <is>
          <t>PIN2</t>
        </is>
      </c>
      <c r="E80" s="22" t="n">
        <v>1</v>
      </c>
      <c r="F80" s="14" t="n">
        <v>30</v>
      </c>
      <c r="G80" s="22" t="n"/>
      <c r="H80" s="22">
        <f>F80*E80</f>
        <v/>
      </c>
      <c r="I80" s="22" t="n">
        <v>0</v>
      </c>
      <c r="J80" s="22">
        <f>MAX(0,H80-I80)</f>
        <v/>
      </c>
      <c r="L80" s="22">
        <f>"BUILDABLE: "&amp;$K$75&amp;" | TOTAL REQ: "&amp;H80&amp;" | RECEIVED: "&amp;I80&amp;" | STILL REQUIRED: "&amp;MAX(0,H80-I80)</f>
        <v/>
      </c>
    </row>
    <row r="81" ht="14.25" customHeight="1" s="70">
      <c r="A81" t="n">
        <v>9</v>
      </c>
      <c r="B81" t="n">
        <v>1036</v>
      </c>
      <c r="C81" s="19" t="n">
        <v>8</v>
      </c>
      <c r="D81" s="20" t="inlineStr">
        <is>
          <t>CLAMP</t>
        </is>
      </c>
      <c r="E81" s="22" t="n">
        <v>1</v>
      </c>
      <c r="F81" s="14" t="n">
        <v>30</v>
      </c>
      <c r="G81" s="22" t="n"/>
      <c r="H81" s="22">
        <f>F81*E81</f>
        <v/>
      </c>
      <c r="I81" s="22" t="n">
        <v>0</v>
      </c>
      <c r="J81" s="22">
        <f>MAX(0,H81-I81)</f>
        <v/>
      </c>
      <c r="L81" s="22">
        <f>"BUILDABLE: "&amp;$K$75&amp;" | TOTAL REQ: "&amp;H81&amp;" | RECEIVED: "&amp;I81&amp;" | STILL REQUIRED: "&amp;MAX(0,H81-I81)</f>
        <v/>
      </c>
    </row>
    <row r="82" ht="14.25" customHeight="1" s="70">
      <c r="A82" s="17" t="n">
        <v>10</v>
      </c>
      <c r="B82" s="32" t="n">
        <v>1037</v>
      </c>
      <c r="C82" s="19" t="n">
        <v>1</v>
      </c>
      <c r="D82" s="20" t="inlineStr">
        <is>
          <t>TOP PLATE</t>
        </is>
      </c>
      <c r="E82" s="22" t="n">
        <v>1</v>
      </c>
      <c r="F82" s="14" t="n">
        <v>2</v>
      </c>
      <c r="G82" s="22" t="n"/>
      <c r="H82" s="22">
        <f>F82*E82</f>
        <v/>
      </c>
      <c r="I82" s="22" t="n">
        <v>0</v>
      </c>
      <c r="J82" s="22">
        <f>MAX(0,H82-I82)</f>
        <v/>
      </c>
      <c r="K82" s="22">
        <f>MIN(_xlfn.IFERROR(QUOTIENT(I82,E82),0),_xlfn.IFERROR(QUOTIENT(I83,E83),0),_xlfn.IFERROR(QUOTIENT(I84,E84),0),_xlfn.IFERROR(QUOTIENT(I85,E85),0),_xlfn.IFERROR(QUOTIENT(I86,E86),0))</f>
        <v/>
      </c>
      <c r="L82" s="22">
        <f>"BUILDABLE: "&amp;$K$82&amp;" | TOTAL REQ: "&amp;H82&amp;" | RECEIVED: "&amp;I82&amp;" | STILL REQUIRED: "&amp;MAX(0,H82-I82)</f>
        <v/>
      </c>
    </row>
    <row r="83" ht="14.25" customHeight="1" s="70">
      <c r="A83" t="n">
        <v>10</v>
      </c>
      <c r="B83" t="n">
        <v>1037</v>
      </c>
      <c r="C83" s="19" t="n">
        <v>2</v>
      </c>
      <c r="D83" s="20" t="inlineStr">
        <is>
          <t xml:space="preserve">BOTTOM PLATE </t>
        </is>
      </c>
      <c r="E83" s="22" t="n">
        <v>1</v>
      </c>
      <c r="F83" s="14" t="n">
        <v>2</v>
      </c>
      <c r="G83" s="22" t="n"/>
      <c r="H83" s="22">
        <f>F83*E83</f>
        <v/>
      </c>
      <c r="I83" s="22" t="n">
        <v>0</v>
      </c>
      <c r="J83" s="22">
        <f>MAX(0,H83-I83)</f>
        <v/>
      </c>
      <c r="L83" s="22">
        <f>"BUILDABLE: "&amp;$K$82&amp;" | TOTAL REQ: "&amp;H83&amp;" | RECEIVED: "&amp;I83&amp;" | STILL REQUIRED: "&amp;MAX(0,H83-I83)</f>
        <v/>
      </c>
    </row>
    <row r="84" ht="14.25" customHeight="1" s="70">
      <c r="A84" t="n">
        <v>10</v>
      </c>
      <c r="B84" t="n">
        <v>1037</v>
      </c>
      <c r="C84" s="19" t="n">
        <v>3</v>
      </c>
      <c r="D84" s="20" t="inlineStr">
        <is>
          <t>GUIDE PLATE</t>
        </is>
      </c>
      <c r="E84" s="22" t="n">
        <v>2</v>
      </c>
      <c r="F84" s="14" t="n">
        <v>2</v>
      </c>
      <c r="G84" s="22" t="n"/>
      <c r="H84" s="22">
        <f>F84*E84</f>
        <v/>
      </c>
      <c r="I84" s="22" t="n">
        <v>0</v>
      </c>
      <c r="J84" s="22">
        <f>MAX(0,H84-I84)</f>
        <v/>
      </c>
      <c r="L84" s="22">
        <f>"BUILDABLE: "&amp;$K$82&amp;" | TOTAL REQ: "&amp;H84&amp;" | RECEIVED: "&amp;I84&amp;" | STILL REQUIRED: "&amp;MAX(0,H84-I84)</f>
        <v/>
      </c>
    </row>
    <row r="85" ht="14.25" customHeight="1" s="70">
      <c r="A85" t="n">
        <v>10</v>
      </c>
      <c r="B85" t="n">
        <v>1037</v>
      </c>
      <c r="C85" s="19" t="n">
        <v>4</v>
      </c>
      <c r="D85" s="20" t="inlineStr">
        <is>
          <t>BUSH</t>
        </is>
      </c>
      <c r="E85" s="22" t="n">
        <v>8</v>
      </c>
      <c r="F85" s="14" t="n">
        <v>2</v>
      </c>
      <c r="G85" s="22" t="n"/>
      <c r="H85" s="22">
        <f>F85*E85</f>
        <v/>
      </c>
      <c r="I85" s="22" t="n">
        <v>0</v>
      </c>
      <c r="J85" s="22">
        <f>MAX(0,H85-I85)</f>
        <v/>
      </c>
      <c r="L85" s="22">
        <f>"BUILDABLE: "&amp;$K$82&amp;" | TOTAL REQ: "&amp;H85&amp;" | RECEIVED: "&amp;I85&amp;" | STILL REQUIRED: "&amp;MAX(0,H85-I85)</f>
        <v/>
      </c>
    </row>
    <row r="86" ht="14.25" customHeight="1" s="70">
      <c r="A86" t="n">
        <v>10</v>
      </c>
      <c r="B86" t="n">
        <v>1037</v>
      </c>
      <c r="C86" s="19" t="n">
        <v>5</v>
      </c>
      <c r="D86" s="20" t="inlineStr">
        <is>
          <t>BENDING BLOCK</t>
        </is>
      </c>
      <c r="E86" s="22" t="n">
        <v>1</v>
      </c>
      <c r="F86" s="14" t="n">
        <v>2</v>
      </c>
      <c r="G86" s="22" t="n"/>
      <c r="H86" s="22">
        <f>F86*E86</f>
        <v/>
      </c>
      <c r="I86" s="22" t="n">
        <v>0</v>
      </c>
      <c r="J86" s="22">
        <f>MAX(0,H86-I86)</f>
        <v/>
      </c>
      <c r="L86" s="22">
        <f>"BUILDABLE: "&amp;$K$82&amp;" | TOTAL REQ: "&amp;H86&amp;" | RECEIVED: "&amp;I86&amp;" | STILL REQUIRED: "&amp;MAX(0,H86-I86)</f>
        <v/>
      </c>
    </row>
    <row r="87" ht="14.25" customHeight="1" s="70">
      <c r="A87" s="17" t="n">
        <v>11</v>
      </c>
      <c r="B87" s="32" t="n">
        <v>1038</v>
      </c>
      <c r="C87" s="19" t="n">
        <v>1</v>
      </c>
      <c r="D87" s="20" t="inlineStr">
        <is>
          <t>PLATE</t>
        </is>
      </c>
      <c r="E87" s="22" t="n">
        <v>1</v>
      </c>
      <c r="F87" s="14" t="n">
        <v>2</v>
      </c>
      <c r="G87" s="22" t="n"/>
      <c r="H87" s="22">
        <f>F87*E87</f>
        <v/>
      </c>
      <c r="I87" s="22" t="n">
        <v>0</v>
      </c>
      <c r="J87" s="22">
        <f>MAX(0,H87-I87)</f>
        <v/>
      </c>
      <c r="K87" s="22">
        <f>MIN(_xlfn.IFERROR(QUOTIENT(I87,E87),0),_xlfn.IFERROR(QUOTIENT(I88,E88),0),_xlfn.IFERROR(QUOTIENT(I89,E89),0),_xlfn.IFERROR(QUOTIENT(I90,E90),0))</f>
        <v/>
      </c>
      <c r="L87" s="22">
        <f>"BUILDABLE: "&amp;$K$87&amp;" | TOTAL REQ: "&amp;H87&amp;" | RECEIVED: "&amp;I87&amp;" | STILL REQUIRED: "&amp;MAX(0,H87-I87)</f>
        <v/>
      </c>
    </row>
    <row r="88" ht="14.25" customHeight="1" s="70">
      <c r="A88" t="n">
        <v>11</v>
      </c>
      <c r="B88" t="n">
        <v>1038</v>
      </c>
      <c r="C88" s="19" t="n">
        <v>2</v>
      </c>
      <c r="D88" s="20" t="inlineStr">
        <is>
          <t>PIN 1</t>
        </is>
      </c>
      <c r="E88" s="22" t="n">
        <v>2</v>
      </c>
      <c r="F88" s="14" t="n">
        <v>2</v>
      </c>
      <c r="G88" s="22" t="n"/>
      <c r="H88" s="22">
        <f>F88*E88</f>
        <v/>
      </c>
      <c r="I88" s="22" t="n">
        <v>0</v>
      </c>
      <c r="J88" s="22">
        <f>MAX(0,H88-I88)</f>
        <v/>
      </c>
      <c r="L88" s="22">
        <f>"BUILDABLE: "&amp;$K$87&amp;" | TOTAL REQ: "&amp;H88&amp;" | RECEIVED: "&amp;I88&amp;" | STILL REQUIRED: "&amp;MAX(0,H88-I88)</f>
        <v/>
      </c>
    </row>
    <row r="89" ht="14.25" customHeight="1" s="70">
      <c r="A89" t="n">
        <v>11</v>
      </c>
      <c r="B89" t="n">
        <v>1038</v>
      </c>
      <c r="C89" s="19" t="n">
        <v>3</v>
      </c>
      <c r="D89" s="20" t="inlineStr">
        <is>
          <t>PIN 2</t>
        </is>
      </c>
      <c r="E89" s="22" t="n">
        <v>1</v>
      </c>
      <c r="F89" s="14" t="n">
        <v>2</v>
      </c>
      <c r="G89" s="22" t="n"/>
      <c r="H89" s="22">
        <f>F89*E89</f>
        <v/>
      </c>
      <c r="I89" s="22" t="n">
        <v>0</v>
      </c>
      <c r="J89" s="22">
        <f>MAX(0,H89-I89)</f>
        <v/>
      </c>
      <c r="L89" s="22">
        <f>"BUILDABLE: "&amp;$K$87&amp;" | TOTAL REQ: "&amp;H89&amp;" | RECEIVED: "&amp;I89&amp;" | STILL REQUIRED: "&amp;MAX(0,H89-I89)</f>
        <v/>
      </c>
    </row>
    <row r="90" ht="14.25" customHeight="1" s="70">
      <c r="A90" t="n">
        <v>11</v>
      </c>
      <c r="B90" t="n">
        <v>1038</v>
      </c>
      <c r="C90" s="19" t="n">
        <v>5</v>
      </c>
      <c r="D90" s="20" t="inlineStr">
        <is>
          <t>CLAMP PLATE</t>
        </is>
      </c>
      <c r="E90" s="22" t="n">
        <v>1</v>
      </c>
      <c r="F90" s="14" t="n">
        <v>2</v>
      </c>
      <c r="G90" s="22" t="n"/>
      <c r="H90" s="22">
        <f>F90*E90</f>
        <v/>
      </c>
      <c r="I90" s="22" t="n">
        <v>0</v>
      </c>
      <c r="J90" s="22">
        <f>MAX(0,H90-I90)</f>
        <v/>
      </c>
      <c r="L90" s="22">
        <f>"BUILDABLE: "&amp;$K$87&amp;" | TOTAL REQ: "&amp;H90&amp;" | RECEIVED: "&amp;I90&amp;" | STILL REQUIRED: "&amp;MAX(0,H90-I90)</f>
        <v/>
      </c>
    </row>
    <row r="91" ht="14.25" customHeight="1" s="70">
      <c r="A91" s="17" t="n">
        <v>12</v>
      </c>
      <c r="B91" s="32" t="n">
        <v>1039</v>
      </c>
      <c r="C91" s="19" t="n">
        <v>1</v>
      </c>
      <c r="D91" s="20" t="inlineStr">
        <is>
          <t>TOP PLATE</t>
        </is>
      </c>
      <c r="E91" s="22" t="n">
        <v>1</v>
      </c>
      <c r="F91" s="14" t="n">
        <v>2</v>
      </c>
      <c r="G91" s="22" t="n"/>
      <c r="H91" s="22">
        <f>F91*E91</f>
        <v/>
      </c>
      <c r="I91" s="22" t="n">
        <v>0</v>
      </c>
      <c r="J91" s="22">
        <f>MAX(0,H91-I91)</f>
        <v/>
      </c>
      <c r="K91" s="22">
        <f>MIN(_xlfn.IFERROR(QUOTIENT(I91,E91),0),_xlfn.IFERROR(QUOTIENT(I92,E92),0),_xlfn.IFERROR(QUOTIENT(I93,E93),0),_xlfn.IFERROR(QUOTIENT(I94,E94),0))</f>
        <v/>
      </c>
      <c r="L91" s="22">
        <f>"BUILDABLE: "&amp;$K$91&amp;" | TOTAL REQ: "&amp;H91&amp;" | RECEIVED: "&amp;I91&amp;" | STILL REQUIRED: "&amp;MAX(0,H91-I91)</f>
        <v/>
      </c>
    </row>
    <row r="92" ht="14.25" customHeight="1" s="70">
      <c r="A92" t="n">
        <v>12</v>
      </c>
      <c r="B92" t="n">
        <v>1039</v>
      </c>
      <c r="C92" s="19" t="n">
        <v>2</v>
      </c>
      <c r="D92" s="20" t="inlineStr">
        <is>
          <t xml:space="preserve">BOTTOM PLATE </t>
        </is>
      </c>
      <c r="E92" s="22" t="n">
        <v>1</v>
      </c>
      <c r="F92" s="14" t="n">
        <v>2</v>
      </c>
      <c r="G92" s="22" t="n"/>
      <c r="H92" s="22">
        <f>F92*E92</f>
        <v/>
      </c>
      <c r="I92" s="22" t="n">
        <v>0</v>
      </c>
      <c r="J92" s="22">
        <f>MAX(0,H92-I92)</f>
        <v/>
      </c>
      <c r="L92" s="22">
        <f>"BUILDABLE: "&amp;$K$91&amp;" | TOTAL REQ: "&amp;H92&amp;" | RECEIVED: "&amp;I92&amp;" | STILL REQUIRED: "&amp;MAX(0,H92-I92)</f>
        <v/>
      </c>
    </row>
    <row r="93" ht="14.25" customHeight="1" s="70">
      <c r="A93" t="n">
        <v>12</v>
      </c>
      <c r="B93" t="n">
        <v>1039</v>
      </c>
      <c r="C93" s="19" t="n">
        <v>3</v>
      </c>
      <c r="D93" s="20" t="inlineStr">
        <is>
          <t>GUIDE PIN</t>
        </is>
      </c>
      <c r="E93" s="22" t="n">
        <v>2</v>
      </c>
      <c r="F93" s="14" t="n">
        <v>2</v>
      </c>
      <c r="G93" s="22" t="n"/>
      <c r="H93" s="22">
        <f>F93*E93</f>
        <v/>
      </c>
      <c r="I93" s="22" t="n">
        <v>0</v>
      </c>
      <c r="J93" s="22">
        <f>MAX(0,H93-I93)</f>
        <v/>
      </c>
      <c r="L93" s="22">
        <f>"BUILDABLE: "&amp;$K$91&amp;" | TOTAL REQ: "&amp;H93&amp;" | RECEIVED: "&amp;I93&amp;" | STILL REQUIRED: "&amp;MAX(0,H93-I93)</f>
        <v/>
      </c>
    </row>
    <row r="94" ht="14.25" customHeight="1" s="70">
      <c r="A94" t="n">
        <v>12</v>
      </c>
      <c r="B94" t="n">
        <v>1039</v>
      </c>
      <c r="C94" s="19" t="n">
        <v>4</v>
      </c>
      <c r="D94" s="20" t="inlineStr">
        <is>
          <t>CLAMP</t>
        </is>
      </c>
      <c r="E94" s="22" t="n">
        <v>2</v>
      </c>
      <c r="F94" s="14" t="n">
        <v>2</v>
      </c>
      <c r="G94" s="22" t="n"/>
      <c r="H94" s="22">
        <f>F94*E94</f>
        <v/>
      </c>
      <c r="I94" s="22" t="n">
        <v>0</v>
      </c>
      <c r="J94" s="22">
        <f>MAX(0,H94-I94)</f>
        <v/>
      </c>
      <c r="L94" s="22">
        <f>"BUILDABLE: "&amp;$K$91&amp;" | TOTAL REQ: "&amp;H94&amp;" | RECEIVED: "&amp;I94&amp;" | STILL REQUIRED: "&amp;MAX(0,H94-I94)</f>
        <v/>
      </c>
    </row>
    <row r="95" ht="14.25" customHeight="1" s="70">
      <c r="A95" s="17" t="n">
        <v>13</v>
      </c>
      <c r="B95" s="32" t="n">
        <v>1041</v>
      </c>
      <c r="C95" s="19" t="n">
        <v>1</v>
      </c>
      <c r="D95" s="20" t="inlineStr">
        <is>
          <t xml:space="preserve">BOTTOM PLATE </t>
        </is>
      </c>
      <c r="E95" s="22" t="n">
        <v>1</v>
      </c>
      <c r="F95" s="14" t="n">
        <v>2</v>
      </c>
      <c r="G95" s="22" t="n"/>
      <c r="H95" s="22">
        <f>F95*E95</f>
        <v/>
      </c>
      <c r="I95" s="22" t="n">
        <v>0</v>
      </c>
      <c r="J95" s="22">
        <f>MAX(0,H95-I95)</f>
        <v/>
      </c>
      <c r="K95" s="22">
        <f>MIN(_xlfn.IFERROR(QUOTIENT(I95,E95),0),_xlfn.IFERROR(QUOTIENT(I96,E96),0),_xlfn.IFERROR(QUOTIENT(I97,E97),0),_xlfn.IFERROR(QUOTIENT(I98,E98),0))</f>
        <v/>
      </c>
      <c r="L95" s="22">
        <f>"BUILDABLE: "&amp;$K$95&amp;" | TOTAL REQ: "&amp;H95&amp;" | RECEIVED: "&amp;I95&amp;" | STILL REQUIRED: "&amp;MAX(0,H95-I95)</f>
        <v/>
      </c>
    </row>
    <row r="96" ht="14.25" customHeight="1" s="70">
      <c r="A96" t="n">
        <v>13</v>
      </c>
      <c r="B96" t="n">
        <v>1041</v>
      </c>
      <c r="C96" s="19" t="n">
        <v>2</v>
      </c>
      <c r="D96" s="20" t="inlineStr">
        <is>
          <t>SS RING</t>
        </is>
      </c>
      <c r="E96" s="22" t="n">
        <v>2</v>
      </c>
      <c r="F96" s="14" t="n">
        <v>2</v>
      </c>
      <c r="G96" s="22" t="n"/>
      <c r="H96" s="22">
        <f>F96*E96</f>
        <v/>
      </c>
      <c r="I96" s="22" t="n">
        <v>0</v>
      </c>
      <c r="J96" s="22">
        <f>MAX(0,H96-I96)</f>
        <v/>
      </c>
      <c r="L96" s="22">
        <f>"BUILDABLE: "&amp;$K$95&amp;" | TOTAL REQ: "&amp;H96&amp;" | RECEIVED: "&amp;I96&amp;" | STILL REQUIRED: "&amp;MAX(0,H96-I96)</f>
        <v/>
      </c>
    </row>
    <row r="97" ht="14.25" customHeight="1" s="70">
      <c r="A97" t="n">
        <v>13</v>
      </c>
      <c r="B97" t="n">
        <v>1041</v>
      </c>
      <c r="C97" s="19" t="n">
        <v>3</v>
      </c>
      <c r="D97" s="20" t="inlineStr">
        <is>
          <t>RUBBER WASHER</t>
        </is>
      </c>
      <c r="E97" s="22" t="n">
        <v>3</v>
      </c>
      <c r="F97" s="14" t="n">
        <v>2</v>
      </c>
      <c r="G97" s="22" t="n"/>
      <c r="H97" s="22">
        <f>F97*E97</f>
        <v/>
      </c>
      <c r="I97" s="22" t="n">
        <v>0</v>
      </c>
      <c r="J97" s="22">
        <f>MAX(0,H97-I97)</f>
        <v/>
      </c>
      <c r="L97" s="22">
        <f>"BUILDABLE: "&amp;$K$95&amp;" | TOTAL REQ: "&amp;H97&amp;" | RECEIVED: "&amp;I97&amp;" | STILL REQUIRED: "&amp;MAX(0,H97-I97)</f>
        <v/>
      </c>
    </row>
    <row r="98" ht="14.25" customHeight="1" s="70">
      <c r="A98" t="n">
        <v>13</v>
      </c>
      <c r="B98" t="n">
        <v>1041</v>
      </c>
      <c r="C98" s="19" t="n">
        <v>4</v>
      </c>
      <c r="D98" s="20" t="inlineStr">
        <is>
          <t>TOP PLATE</t>
        </is>
      </c>
      <c r="E98" s="22" t="n">
        <v>4</v>
      </c>
      <c r="F98" s="14" t="n">
        <v>2</v>
      </c>
      <c r="G98" s="22" t="n"/>
      <c r="H98" s="22">
        <f>F98*E98</f>
        <v/>
      </c>
      <c r="I98" s="22" t="n">
        <v>0</v>
      </c>
      <c r="J98" s="22">
        <f>MAX(0,H98-I98)</f>
        <v/>
      </c>
      <c r="L98" s="22">
        <f>"BUILDABLE: "&amp;$K$95&amp;" | TOTAL REQ: "&amp;H98&amp;" | RECEIVED: "&amp;I98&amp;" | STILL REQUIRED: "&amp;MAX(0,H98-I98)</f>
        <v/>
      </c>
    </row>
    <row r="99" ht="14.25" customHeight="1" s="70">
      <c r="A99" s="17" t="n">
        <v>14</v>
      </c>
      <c r="B99" s="32" t="n">
        <v>1051</v>
      </c>
      <c r="C99" s="19" t="n">
        <v>1</v>
      </c>
      <c r="D99" s="20" t="inlineStr">
        <is>
          <t>PLUG 1SLEEVE</t>
        </is>
      </c>
      <c r="E99" s="22" t="n">
        <v>1</v>
      </c>
      <c r="F99" s="14" t="n">
        <v>2</v>
      </c>
      <c r="G99" s="22" t="n"/>
      <c r="H99" s="22">
        <f>F99*E99</f>
        <v/>
      </c>
      <c r="I99" s="22" t="n">
        <v>1</v>
      </c>
      <c r="J99" s="22">
        <f>MAX(0,H99-I99)</f>
        <v/>
      </c>
      <c r="K99" s="22">
        <f>MIN(_xlfn.IFERROR(QUOTIENT(I99,E99),0),_xlfn.IFERROR(QUOTIENT(I100,E100),0),_xlfn.IFERROR(QUOTIENT(I101,E101),0),_xlfn.IFERROR(QUOTIENT(I102,E102),0),_xlfn.IFERROR(QUOTIENT(I103,E103),0),_xlfn.IFERROR(QUOTIENT(I104,E104),0))</f>
        <v/>
      </c>
      <c r="L99" s="22">
        <f>"BUILDABLE: "&amp;$K$99&amp;" | TOTAL REQ: "&amp;H99&amp;" | RECEIVED: "&amp;I99&amp;" | STILL REQUIRED: "&amp;MAX(0,H99-I99)</f>
        <v/>
      </c>
    </row>
    <row r="100" ht="14.25" customHeight="1" s="70">
      <c r="A100" t="n">
        <v>14</v>
      </c>
      <c r="B100" t="n">
        <v>1051</v>
      </c>
      <c r="C100" s="19" t="n">
        <v>2</v>
      </c>
      <c r="D100" s="20" t="inlineStr">
        <is>
          <t xml:space="preserve">BOTTOM PLATE </t>
        </is>
      </c>
      <c r="E100" s="22" t="n">
        <v>1</v>
      </c>
      <c r="F100" s="14" t="n">
        <v>2</v>
      </c>
      <c r="G100" s="22" t="n"/>
      <c r="H100" s="22">
        <f>F100*E100</f>
        <v/>
      </c>
      <c r="I100" s="22" t="n">
        <v>0</v>
      </c>
      <c r="J100" s="22">
        <f>MAX(0,H100-I100)</f>
        <v/>
      </c>
      <c r="L100" s="22">
        <f>"BUILDABLE: "&amp;$K$99&amp;" | TOTAL REQ: "&amp;H100&amp;" | RECEIVED: "&amp;I100&amp;" | STILL REQUIRED: "&amp;MAX(0,H100-I100)</f>
        <v/>
      </c>
    </row>
    <row r="101" ht="14.25" customHeight="1" s="70">
      <c r="A101" t="n">
        <v>14</v>
      </c>
      <c r="B101" t="n">
        <v>1051</v>
      </c>
      <c r="C101" s="19" t="n">
        <v>3</v>
      </c>
      <c r="D101" s="20" t="inlineStr">
        <is>
          <t>TO BRACKET</t>
        </is>
      </c>
      <c r="E101" s="22" t="n">
        <v>1</v>
      </c>
      <c r="F101" s="14" t="n">
        <v>2</v>
      </c>
      <c r="G101" s="22" t="n"/>
      <c r="H101" s="22">
        <f>F101*E101</f>
        <v/>
      </c>
      <c r="I101" s="22" t="n">
        <v>4</v>
      </c>
      <c r="J101" s="22">
        <f>MAX(0,H101-I101)</f>
        <v/>
      </c>
      <c r="L101" s="22">
        <f>"BUILDABLE: "&amp;$K$99&amp;" | TOTAL REQ: "&amp;H101&amp;" | RECEIVED: "&amp;I101&amp;" | STILL REQUIRED: "&amp;MAX(0,H101-I101)</f>
        <v/>
      </c>
    </row>
    <row r="102" ht="14.25" customHeight="1" s="70">
      <c r="A102" t="n">
        <v>14</v>
      </c>
      <c r="B102" t="n">
        <v>1051</v>
      </c>
      <c r="C102" s="19" t="n">
        <v>4</v>
      </c>
      <c r="D102" s="20" t="inlineStr">
        <is>
          <t>PLUG 2</t>
        </is>
      </c>
      <c r="E102" s="22" t="n">
        <v>1</v>
      </c>
      <c r="F102" s="14" t="n">
        <v>2</v>
      </c>
      <c r="G102" s="22" t="n"/>
      <c r="H102" s="22">
        <f>F102*E102</f>
        <v/>
      </c>
      <c r="I102" s="22" t="n">
        <v>0</v>
      </c>
      <c r="J102" s="22">
        <f>MAX(0,H102-I102)</f>
        <v/>
      </c>
      <c r="L102" s="22">
        <f>"BUILDABLE: "&amp;$K$99&amp;" | TOTAL REQ: "&amp;H102&amp;" | RECEIVED: "&amp;I102&amp;" | STILL REQUIRED: "&amp;MAX(0,H102-I102)</f>
        <v/>
      </c>
    </row>
    <row r="103" ht="14.25" customHeight="1" s="70">
      <c r="A103" t="n">
        <v>14</v>
      </c>
      <c r="B103" t="n">
        <v>1051</v>
      </c>
      <c r="C103" s="19" t="n">
        <v>5</v>
      </c>
      <c r="D103" s="20" t="inlineStr">
        <is>
          <t>PLUG 3</t>
        </is>
      </c>
      <c r="E103" s="22" t="n">
        <v>1</v>
      </c>
      <c r="F103" s="14" t="n">
        <v>2</v>
      </c>
      <c r="G103" s="22" t="n"/>
      <c r="H103" s="22">
        <f>F103*E103</f>
        <v/>
      </c>
      <c r="I103" s="22" t="n">
        <v>2</v>
      </c>
      <c r="J103" s="22">
        <f>MAX(0,H103-I103)</f>
        <v/>
      </c>
      <c r="L103" s="22">
        <f>"BUILDABLE: "&amp;$K$99&amp;" | TOTAL REQ: "&amp;H103&amp;" | RECEIVED: "&amp;I103&amp;" | STILL REQUIRED: "&amp;MAX(0,H103-I103)</f>
        <v/>
      </c>
    </row>
    <row r="104" ht="14.25" customHeight="1" s="70">
      <c r="A104" t="n">
        <v>14</v>
      </c>
      <c r="B104" t="n">
        <v>1051</v>
      </c>
      <c r="C104" s="19" t="n">
        <v>6</v>
      </c>
      <c r="D104" s="20" t="inlineStr">
        <is>
          <t>PLUG 3</t>
        </is>
      </c>
      <c r="E104" s="22" t="n">
        <v>1</v>
      </c>
      <c r="F104" s="14" t="n">
        <v>2</v>
      </c>
      <c r="G104" s="22" t="n"/>
      <c r="H104" s="22">
        <f>F104*E104</f>
        <v/>
      </c>
      <c r="I104" s="22" t="n">
        <v>3</v>
      </c>
      <c r="J104" s="22">
        <f>MAX(0,H104-I104)</f>
        <v/>
      </c>
      <c r="L104" s="22">
        <f>"BUILDABLE: "&amp;$K$99&amp;" | TOTAL REQ: "&amp;H104&amp;" | RECEIVED: "&amp;I104&amp;" | STILL REQUIRED: "&amp;MAX(0,H104-I104)</f>
        <v/>
      </c>
    </row>
    <row r="105" ht="14.25" customHeight="1" s="70">
      <c r="A105" s="17" t="n">
        <v>15</v>
      </c>
      <c r="B105" s="32" t="n">
        <v>1052</v>
      </c>
      <c r="C105" s="19" t="n">
        <v>1</v>
      </c>
      <c r="D105" s="20" t="inlineStr">
        <is>
          <t>LOCATOR PLATE</t>
        </is>
      </c>
      <c r="E105" s="22" t="n">
        <v>1</v>
      </c>
      <c r="F105" s="14" t="n">
        <v>2</v>
      </c>
      <c r="G105" s="22" t="n"/>
      <c r="H105" s="22">
        <f>F105*E105</f>
        <v/>
      </c>
      <c r="I105" s="22" t="n">
        <v>0</v>
      </c>
      <c r="J105" s="22">
        <f>MAX(0,H105-I105)</f>
        <v/>
      </c>
      <c r="K105" s="22">
        <f>MIN(_xlfn.IFERROR(QUOTIENT(I105,E105),0),_xlfn.IFERROR(QUOTIENT(I106,E106),0),_xlfn.IFERROR(QUOTIENT(I107,E107),0))</f>
        <v/>
      </c>
      <c r="L105" s="22">
        <f>"BUILDABLE: "&amp;$K$105&amp;" | TOTAL REQ: "&amp;H105&amp;" | RECEIVED: "&amp;I105&amp;" | STILL REQUIRED: "&amp;MAX(0,H105-I105)</f>
        <v/>
      </c>
    </row>
    <row r="106" ht="14.25" customHeight="1" s="70">
      <c r="A106" t="n">
        <v>15</v>
      </c>
      <c r="B106" t="n">
        <v>1052</v>
      </c>
      <c r="C106" s="19" t="n">
        <v>2</v>
      </c>
      <c r="D106" s="27" t="inlineStr">
        <is>
          <t xml:space="preserve"> NUT LOCATNG PLATE 1</t>
        </is>
      </c>
      <c r="E106" s="22" t="n">
        <v>1</v>
      </c>
      <c r="F106" s="14" t="n">
        <v>2</v>
      </c>
      <c r="G106" s="22" t="n"/>
      <c r="H106" s="22">
        <f>F106*E106</f>
        <v/>
      </c>
      <c r="I106" s="22" t="n">
        <v>0</v>
      </c>
      <c r="J106" s="22">
        <f>MAX(0,H106-I106)</f>
        <v/>
      </c>
      <c r="L106" s="22">
        <f>"BUILDABLE: "&amp;$K$105&amp;" | TOTAL REQ: "&amp;H106&amp;" | RECEIVED: "&amp;I106&amp;" | STILL REQUIRED: "&amp;MAX(0,H106-I106)</f>
        <v/>
      </c>
    </row>
    <row r="107" ht="14.25" customHeight="1" s="70">
      <c r="A107" t="n">
        <v>15</v>
      </c>
      <c r="B107" t="n">
        <v>1052</v>
      </c>
      <c r="C107" s="19" t="n">
        <v>3</v>
      </c>
      <c r="D107" s="27" t="inlineStr">
        <is>
          <t>NUT LOCATING PLATE 2</t>
        </is>
      </c>
      <c r="E107" s="22" t="n">
        <v>1</v>
      </c>
      <c r="F107" s="14" t="n">
        <v>2</v>
      </c>
      <c r="G107" s="22" t="n"/>
      <c r="H107" s="22">
        <f>F107*E107</f>
        <v/>
      </c>
      <c r="I107" s="22" t="n">
        <v>0</v>
      </c>
      <c r="J107" s="22">
        <f>MAX(0,H107-I107)</f>
        <v/>
      </c>
      <c r="L107" s="22">
        <f>"BUILDABLE: "&amp;$K$105&amp;" | TOTAL REQ: "&amp;H107&amp;" | RECEIVED: "&amp;I107&amp;" | STILL REQUIRED: "&amp;MAX(0,H107-I107)</f>
        <v/>
      </c>
    </row>
    <row r="108" ht="14.25" customHeight="1" s="70">
      <c r="A108" s="17" t="n">
        <v>16</v>
      </c>
      <c r="B108" s="32" t="n">
        <v>1054</v>
      </c>
      <c r="C108" s="19" t="n">
        <v>1</v>
      </c>
      <c r="D108" s="27" t="inlineStr">
        <is>
          <t>BASE PLATE</t>
        </is>
      </c>
      <c r="E108" s="22" t="n">
        <v>1</v>
      </c>
      <c r="F108" s="14" t="n">
        <v>2</v>
      </c>
      <c r="G108" s="22" t="n"/>
      <c r="H108" s="22">
        <f>F108*E108</f>
        <v/>
      </c>
      <c r="I108" s="22" t="n">
        <v>0</v>
      </c>
      <c r="J108" s="22">
        <f>MAX(0,H108-I108)</f>
        <v/>
      </c>
      <c r="K108" s="22">
        <f>MIN(_xlfn.IFERROR(QUOTIENT(I108,E108),0),_xlfn.IFERROR(QUOTIENT(I109,E109),0),_xlfn.IFERROR(QUOTIENT(I110,E110),0))</f>
        <v/>
      </c>
      <c r="L108" s="22">
        <f>"BUILDABLE: "&amp;$K$108&amp;" | TOTAL REQ: "&amp;H108&amp;" | RECEIVED: "&amp;I108&amp;" | STILL REQUIRED: "&amp;MAX(0,H108-I108)</f>
        <v/>
      </c>
    </row>
    <row r="109" ht="14.25" customHeight="1" s="70">
      <c r="A109" t="n">
        <v>16</v>
      </c>
      <c r="B109" t="n">
        <v>1054</v>
      </c>
      <c r="C109" s="19" t="n">
        <v>2</v>
      </c>
      <c r="D109" s="27" t="inlineStr">
        <is>
          <t>CLAMP</t>
        </is>
      </c>
      <c r="E109" s="22" t="n">
        <v>1</v>
      </c>
      <c r="F109" s="14" t="n">
        <v>2</v>
      </c>
      <c r="G109" s="22" t="n"/>
      <c r="H109" s="22">
        <f>F109*E109</f>
        <v/>
      </c>
      <c r="I109" s="22" t="n">
        <v>0</v>
      </c>
      <c r="J109" s="22">
        <f>MAX(0,H109-I109)</f>
        <v/>
      </c>
      <c r="L109" s="22">
        <f>"BUILDABLE: "&amp;$K$108&amp;" | TOTAL REQ: "&amp;H109&amp;" | RECEIVED: "&amp;I109&amp;" | STILL REQUIRED: "&amp;MAX(0,H109-I109)</f>
        <v/>
      </c>
    </row>
    <row r="110" ht="14.25" customHeight="1" s="70">
      <c r="A110" t="n">
        <v>16</v>
      </c>
      <c r="B110" t="n">
        <v>1054</v>
      </c>
      <c r="C110" s="19" t="n">
        <v>3</v>
      </c>
      <c r="D110" s="27" t="inlineStr">
        <is>
          <t>COPPER BUSH</t>
        </is>
      </c>
      <c r="E110" s="22" t="n">
        <v>16</v>
      </c>
      <c r="F110" s="14" t="n">
        <v>2</v>
      </c>
      <c r="G110" s="22" t="n"/>
      <c r="H110" s="22">
        <f>F110*E110</f>
        <v/>
      </c>
      <c r="I110" s="22" t="n">
        <v>0</v>
      </c>
      <c r="J110" s="22">
        <f>MAX(0,H110-I110)</f>
        <v/>
      </c>
      <c r="L110" s="22">
        <f>"BUILDABLE: "&amp;$K$108&amp;" | TOTAL REQ: "&amp;H110&amp;" | RECEIVED: "&amp;I110&amp;" | STILL REQUIRED: "&amp;MAX(0,H110-I110)</f>
        <v/>
      </c>
    </row>
    <row r="111" ht="14.25" customHeight="1" s="70">
      <c r="A111" s="39" t="n">
        <v>17</v>
      </c>
      <c r="B111" s="40" t="n">
        <v>1042</v>
      </c>
      <c r="C111" s="34" t="n">
        <v>1</v>
      </c>
      <c r="D111" s="26" t="inlineStr">
        <is>
          <t>Base Block</t>
        </is>
      </c>
      <c r="E111" s="60" t="n">
        <v>1</v>
      </c>
      <c r="F111" s="14" t="n">
        <v>2</v>
      </c>
      <c r="G111" s="60" t="n"/>
      <c r="H111" s="22">
        <f>F111*E111</f>
        <v/>
      </c>
      <c r="I111" s="60" t="n">
        <v>0</v>
      </c>
      <c r="J111" s="22">
        <f>MAX(0,H111-I111)</f>
        <v/>
      </c>
      <c r="K111" s="22">
        <f>MIN(_xlfn.IFERROR(QUOTIENT(I111,E111),0),_xlfn.IFERROR(QUOTIENT(I112,E112),0),_xlfn.IFERROR(QUOTIENT(I113,E113),0),_xlfn.IFERROR(QUOTIENT(I114,E114),0),_xlfn.IFERROR(QUOTIENT(I115,E115),0))</f>
        <v/>
      </c>
      <c r="L111" s="60">
        <f>"BUILDABLE: "&amp;$K$111&amp;" | TOTAL REQ: "&amp;H111&amp;" | RECEIVED: "&amp;I111&amp;" | STILL REQUIRED: "&amp;MAX(0,H111-I111)</f>
        <v/>
      </c>
    </row>
    <row r="112" ht="14.25" customHeight="1" s="70">
      <c r="A112" t="n">
        <v>17</v>
      </c>
      <c r="B112" t="n">
        <v>1042</v>
      </c>
      <c r="C112" s="36" t="n">
        <v>2</v>
      </c>
      <c r="D112" s="37" t="inlineStr">
        <is>
          <t xml:space="preserve">CENTER BLOCK </t>
        </is>
      </c>
      <c r="E112" s="60" t="n">
        <v>1</v>
      </c>
      <c r="F112" s="14" t="n">
        <v>2</v>
      </c>
      <c r="G112" s="60" t="n"/>
      <c r="H112" s="22">
        <f>F112*E112</f>
        <v/>
      </c>
      <c r="I112" s="60" t="n">
        <v>0</v>
      </c>
      <c r="J112" s="22">
        <f>MAX(0,H112-I112)</f>
        <v/>
      </c>
      <c r="L112" s="60">
        <f>"BUILDABLE: "&amp;$K$111&amp;" | TOTAL REQ: "&amp;H112&amp;" | RECEIVED: "&amp;I112&amp;" | STILL REQUIRED: "&amp;MAX(0,H112-I112)</f>
        <v/>
      </c>
    </row>
    <row r="113" ht="14.25" customHeight="1" s="70">
      <c r="A113" t="n">
        <v>17</v>
      </c>
      <c r="B113" t="n">
        <v>1042</v>
      </c>
      <c r="C113" s="36" t="n">
        <v>3</v>
      </c>
      <c r="D113" s="37" t="inlineStr">
        <is>
          <t xml:space="preserve"> TOP COVER </t>
        </is>
      </c>
      <c r="E113" s="60" t="n">
        <v>1</v>
      </c>
      <c r="F113" s="14" t="n">
        <v>2</v>
      </c>
      <c r="G113" s="60" t="n"/>
      <c r="H113" s="22">
        <f>F113*E113</f>
        <v/>
      </c>
      <c r="I113" s="60" t="n">
        <v>0</v>
      </c>
      <c r="J113" s="22">
        <f>MAX(0,H113-I113)</f>
        <v/>
      </c>
      <c r="L113" s="60">
        <f>"BUILDABLE: "&amp;$K$111&amp;" | TOTAL REQ: "&amp;H113&amp;" | RECEIVED: "&amp;I113&amp;" | STILL REQUIRED: "&amp;MAX(0,H113-I113)</f>
        <v/>
      </c>
    </row>
    <row r="114" ht="14.25" customHeight="1" s="70">
      <c r="A114" t="n">
        <v>17</v>
      </c>
      <c r="B114" t="n">
        <v>1042</v>
      </c>
      <c r="C114" s="38" t="n">
        <v>12</v>
      </c>
      <c r="D114" s="37" t="inlineStr">
        <is>
          <t>WASHER RING</t>
        </is>
      </c>
      <c r="E114" s="60" t="n">
        <v>1</v>
      </c>
      <c r="F114" s="14" t="n">
        <v>2</v>
      </c>
      <c r="G114" s="60" t="n"/>
      <c r="H114" s="22">
        <f>F114*E114</f>
        <v/>
      </c>
      <c r="I114" s="60" t="n">
        <v>0</v>
      </c>
      <c r="J114" s="22">
        <f>MAX(0,H114-I114)</f>
        <v/>
      </c>
      <c r="L114" s="60">
        <f>"BUILDABLE: "&amp;$K$111&amp;" | TOTAL REQ: "&amp;H114&amp;" | RECEIVED: "&amp;I114&amp;" | STILL REQUIRED: "&amp;MAX(0,H114-I114)</f>
        <v/>
      </c>
    </row>
    <row r="115" ht="14.25" customHeight="1" s="70">
      <c r="A115" t="n">
        <v>17</v>
      </c>
      <c r="B115" t="n">
        <v>1042</v>
      </c>
      <c r="C115" s="38" t="n">
        <v>13</v>
      </c>
      <c r="D115" s="37" t="inlineStr">
        <is>
          <t>CLAMPING BLOCK</t>
        </is>
      </c>
      <c r="E115" s="60" t="n">
        <v>8</v>
      </c>
      <c r="F115" s="14" t="n">
        <v>2</v>
      </c>
      <c r="G115" s="60" t="n"/>
      <c r="H115" s="22">
        <f>F115*E115</f>
        <v/>
      </c>
      <c r="I115" s="60" t="n">
        <v>0</v>
      </c>
      <c r="J115" s="22">
        <f>MAX(0,H115-I115)</f>
        <v/>
      </c>
      <c r="L115" s="60">
        <f>"BUILDABLE: "&amp;$K$111&amp;" | TOTAL REQ: "&amp;H115&amp;" | RECEIVED: "&amp;I115&amp;" | STILL REQUIRED: "&amp;MAX(0,H115-I115)</f>
        <v/>
      </c>
    </row>
    <row r="116" ht="14.25" customHeight="1" s="70">
      <c r="A116" s="39" t="n">
        <v>18</v>
      </c>
      <c r="B116" s="40" t="n">
        <v>1049</v>
      </c>
      <c r="C116" s="41" t="n">
        <v>1</v>
      </c>
      <c r="D116" s="37" t="inlineStr">
        <is>
          <t>BASE PLATE</t>
        </is>
      </c>
      <c r="E116" s="60" t="n">
        <v>1</v>
      </c>
      <c r="F116" s="14" t="n">
        <v>2</v>
      </c>
      <c r="G116" s="60" t="n"/>
      <c r="H116" s="22">
        <f>F116*E116</f>
        <v/>
      </c>
      <c r="I116" s="60" t="n">
        <v>0</v>
      </c>
      <c r="J116" s="22">
        <f>MAX(0,H116-I116)</f>
        <v/>
      </c>
      <c r="K116" s="22">
        <f>MIN(_xlfn.IFERROR(QUOTIENT(I116,E116),0))</f>
        <v/>
      </c>
      <c r="L116" s="60">
        <f>"BUILDABLE: "&amp;$K$116&amp;" | TOTAL REQ: "&amp;H116&amp;" | RECEIVED: "&amp;I116&amp;" | STILL REQUIRED: "&amp;MAX(0,H116-I116)</f>
        <v/>
      </c>
    </row>
    <row r="117" ht="14.25" customHeight="1" s="70">
      <c r="A117" s="39" t="n">
        <v>19</v>
      </c>
      <c r="B117" s="40" t="n">
        <v>1050</v>
      </c>
      <c r="C117" s="41" t="n">
        <v>1</v>
      </c>
      <c r="D117" s="37" t="inlineStr">
        <is>
          <t>ADOPTOR</t>
        </is>
      </c>
      <c r="E117" s="60" t="n">
        <v>1</v>
      </c>
      <c r="F117" s="14" t="n">
        <v>2</v>
      </c>
      <c r="G117" s="60" t="n"/>
      <c r="H117" s="22">
        <f>F117*E117</f>
        <v/>
      </c>
      <c r="I117" s="60" t="n">
        <v>1</v>
      </c>
      <c r="J117" s="22">
        <f>MAX(0,H117-I117)</f>
        <v/>
      </c>
      <c r="K117" s="22">
        <f>MIN(_xlfn.IFERROR(QUOTIENT(I117,E117),0))</f>
        <v/>
      </c>
      <c r="L117" s="60">
        <f>"BUILDABLE: "&amp;$K$117&amp;" | TOTAL REQ: "&amp;H117&amp;" | RECEIVED: "&amp;I117&amp;" | STILL REQUIRED: "&amp;MAX(0,H117-I117)</f>
        <v/>
      </c>
    </row>
    <row r="118" ht="14.25" customHeight="1" s="70">
      <c r="A118" s="39" t="n">
        <v>21</v>
      </c>
      <c r="B118" s="40" t="n">
        <v>1053</v>
      </c>
      <c r="C118" s="41" t="n">
        <v>1</v>
      </c>
      <c r="D118" s="37" t="inlineStr">
        <is>
          <t xml:space="preserve">SPECIAL SCREW </t>
        </is>
      </c>
      <c r="E118" s="60" t="n">
        <v>1</v>
      </c>
      <c r="F118" s="14" t="n">
        <v>2</v>
      </c>
      <c r="G118" s="60" t="n"/>
      <c r="H118" s="22">
        <f>F118*E118</f>
        <v/>
      </c>
      <c r="I118" s="60" t="n">
        <v>0</v>
      </c>
      <c r="J118" s="22">
        <f>MAX(0,H118-I118)</f>
        <v/>
      </c>
      <c r="K118" s="22">
        <f>MIN(_xlfn.IFERROR(QUOTIENT(I118,E118),0),_xlfn.IFERROR(QUOTIENT(I119,E119),0))</f>
        <v/>
      </c>
      <c r="L118" s="60">
        <f>"BUILDABLE: "&amp;$K$118&amp;" | TOTAL REQ: "&amp;H118&amp;" | RECEIVED: "&amp;I118&amp;" | STILL REQUIRED: "&amp;MAX(0,H118-I118)</f>
        <v/>
      </c>
    </row>
    <row r="119" ht="14.25" customHeight="1" s="70">
      <c r="A119" t="n">
        <v>21</v>
      </c>
      <c r="B119" t="n">
        <v>1053</v>
      </c>
      <c r="C119" s="41" t="n">
        <v>2</v>
      </c>
      <c r="D119" s="37" t="inlineStr">
        <is>
          <t>SPACER-1</t>
        </is>
      </c>
      <c r="E119" s="60" t="n">
        <v>4</v>
      </c>
      <c r="F119" s="14" t="n">
        <v>2</v>
      </c>
      <c r="G119" s="60" t="n"/>
      <c r="H119" s="22">
        <f>F119*E119</f>
        <v/>
      </c>
      <c r="I119" s="60" t="n">
        <v>0</v>
      </c>
      <c r="J119" s="22">
        <f>MAX(0,H119-I119)</f>
        <v/>
      </c>
      <c r="L119" s="60">
        <f>"BUILDABLE: "&amp;$K$118&amp;" | TOTAL REQ: "&amp;H119&amp;" | RECEIVED: "&amp;I119&amp;" | STILL REQUIRED: "&amp;MAX(0,H119-I119)</f>
        <v/>
      </c>
    </row>
    <row r="120" ht="14.25" customHeight="1" s="70">
      <c r="A120" s="39" t="n">
        <v>23</v>
      </c>
      <c r="B120" s="40" t="n">
        <v>1055</v>
      </c>
      <c r="C120" s="41" t="n">
        <v>1</v>
      </c>
      <c r="D120" s="37" t="inlineStr">
        <is>
          <t>INTERMEDIATE TRIMMING</t>
        </is>
      </c>
      <c r="E120" s="60" t="n">
        <v>1</v>
      </c>
      <c r="F120" s="14" t="n">
        <v>2</v>
      </c>
      <c r="G120" s="60" t="n"/>
      <c r="H120" s="22">
        <f>F120*E120</f>
        <v/>
      </c>
      <c r="I120" s="60" t="n">
        <v>0</v>
      </c>
      <c r="J120" s="22">
        <f>MAX(0,H120-I120)</f>
        <v/>
      </c>
      <c r="K120" s="22">
        <f>MIN(_xlfn.IFERROR(QUOTIENT(I120,E120),0),_xlfn.IFERROR(QUOTIENT(I121,E121),0),_xlfn.IFERROR(QUOTIENT(I122,E122),0),_xlfn.IFERROR(QUOTIENT(I123,E123),0))</f>
        <v/>
      </c>
      <c r="L120" s="60">
        <f>"BUILDABLE: "&amp;$K$120&amp;" | TOTAL REQ: "&amp;H120&amp;" | RECEIVED: "&amp;I120&amp;" | STILL REQUIRED: "&amp;MAX(0,H120-I120)</f>
        <v/>
      </c>
    </row>
    <row r="121" ht="14.25" customHeight="1" s="70">
      <c r="A121" t="n">
        <v>23</v>
      </c>
      <c r="B121" t="n">
        <v>1055</v>
      </c>
      <c r="C121" s="41" t="n">
        <v>2</v>
      </c>
      <c r="D121" s="37" t="inlineStr">
        <is>
          <t>FINAL TRIMMING MANFREL</t>
        </is>
      </c>
      <c r="E121" s="60" t="n">
        <v>1</v>
      </c>
      <c r="F121" s="14" t="n">
        <v>2</v>
      </c>
      <c r="G121" s="60" t="n"/>
      <c r="H121" s="22">
        <f>F121*E121</f>
        <v/>
      </c>
      <c r="I121" s="60" t="n">
        <v>0</v>
      </c>
      <c r="J121" s="22">
        <f>MAX(0,H121-I121)</f>
        <v/>
      </c>
      <c r="L121" s="60">
        <f>"BUILDABLE: "&amp;$K$120&amp;" | TOTAL REQ: "&amp;H121&amp;" | RECEIVED: "&amp;I121&amp;" | STILL REQUIRED: "&amp;MAX(0,H121-I121)</f>
        <v/>
      </c>
    </row>
    <row r="122" ht="14.25" customHeight="1" s="70">
      <c r="A122" t="n">
        <v>23</v>
      </c>
      <c r="B122" t="n">
        <v>1055</v>
      </c>
      <c r="C122" s="41" t="n">
        <v>3</v>
      </c>
      <c r="D122" s="37" t="inlineStr">
        <is>
          <t xml:space="preserve">CLAMPING PLATE </t>
        </is>
      </c>
      <c r="E122" s="60" t="n">
        <v>1</v>
      </c>
      <c r="F122" s="14" t="n">
        <v>2</v>
      </c>
      <c r="G122" s="60" t="n"/>
      <c r="H122" s="22">
        <f>F122*E122</f>
        <v/>
      </c>
      <c r="I122" s="60" t="n">
        <v>0</v>
      </c>
      <c r="J122" s="22">
        <f>MAX(0,H122-I122)</f>
        <v/>
      </c>
      <c r="L122" s="60">
        <f>"BUILDABLE: "&amp;$K$120&amp;" | TOTAL REQ: "&amp;H122&amp;" | RECEIVED: "&amp;I122&amp;" | STILL REQUIRED: "&amp;MAX(0,H122-I122)</f>
        <v/>
      </c>
    </row>
    <row r="123" ht="14.25" customHeight="1" s="70">
      <c r="A123" t="n">
        <v>23</v>
      </c>
      <c r="B123" t="n">
        <v>1055</v>
      </c>
      <c r="C123" s="41" t="n">
        <v>4</v>
      </c>
      <c r="D123" s="37" t="inlineStr">
        <is>
          <t xml:space="preserve">SUPPORTING PLATE </t>
        </is>
      </c>
      <c r="E123" s="60" t="n">
        <v>1</v>
      </c>
      <c r="F123" s="14" t="n">
        <v>2</v>
      </c>
      <c r="G123" s="60" t="n"/>
      <c r="H123" s="22">
        <f>F123*E123</f>
        <v/>
      </c>
      <c r="I123" s="60" t="n">
        <v>0</v>
      </c>
      <c r="J123" s="22">
        <f>MAX(0,H123-I123)</f>
        <v/>
      </c>
      <c r="L123" s="60">
        <f>"BUILDABLE: "&amp;$K$120&amp;" | TOTAL REQ: "&amp;H123&amp;" | RECEIVED: "&amp;I123&amp;" | STILL REQUIRED: "&amp;MAX(0,H123-I123)</f>
        <v/>
      </c>
    </row>
    <row r="124" ht="14.25" customHeight="1" s="70">
      <c r="A124" s="39" t="n">
        <v>24</v>
      </c>
      <c r="B124" s="40" t="n">
        <v>1056</v>
      </c>
      <c r="C124" s="42" t="n">
        <v>1</v>
      </c>
      <c r="D124" s="26" t="inlineStr">
        <is>
          <t>INTERMEDIATE Trimming Mandrill  (Stage_1)</t>
        </is>
      </c>
      <c r="E124" s="60" t="n">
        <v>1</v>
      </c>
      <c r="F124" s="14" t="n">
        <v>2</v>
      </c>
      <c r="G124" s="60" t="n"/>
      <c r="H124" s="22">
        <f>F124*E124</f>
        <v/>
      </c>
      <c r="I124" s="60" t="n">
        <v>0</v>
      </c>
      <c r="J124" s="22">
        <f>MAX(0,H124-I124)</f>
        <v/>
      </c>
      <c r="K124" s="22">
        <f>MIN(_xlfn.IFERROR(QUOTIENT(I124,E124),0),_xlfn.IFERROR(QUOTIENT(I125,E125),0),_xlfn.IFERROR(QUOTIENT(I126,E126),0),_xlfn.IFERROR(QUOTIENT(I127,E127),0))</f>
        <v/>
      </c>
      <c r="L124" s="60">
        <f>"BUILDABLE: "&amp;$K$124&amp;" | TOTAL REQ: "&amp;H124&amp;" | RECEIVED: "&amp;I124&amp;" | STILL REQUIRED: "&amp;MAX(0,H124-I124)</f>
        <v/>
      </c>
    </row>
    <row r="125" ht="14.25" customHeight="1" s="70">
      <c r="A125" t="n">
        <v>24</v>
      </c>
      <c r="B125" t="n">
        <v>1056</v>
      </c>
      <c r="C125" s="42" t="n">
        <v>2</v>
      </c>
      <c r="D125" s="26" t="inlineStr">
        <is>
          <t>FINAL TRIMMING MANDRILL</t>
        </is>
      </c>
      <c r="E125" s="60" t="n">
        <v>1</v>
      </c>
      <c r="F125" s="14" t="n">
        <v>2</v>
      </c>
      <c r="G125" s="60" t="n"/>
      <c r="H125" s="22">
        <f>F125*E125</f>
        <v/>
      </c>
      <c r="I125" s="60" t="n">
        <v>0</v>
      </c>
      <c r="J125" s="22">
        <f>MAX(0,H125-I125)</f>
        <v/>
      </c>
      <c r="L125" s="60">
        <f>"BUILDABLE: "&amp;$K$124&amp;" | TOTAL REQ: "&amp;H125&amp;" | RECEIVED: "&amp;I125&amp;" | STILL REQUIRED: "&amp;MAX(0,H125-I125)</f>
        <v/>
      </c>
    </row>
    <row r="126" ht="14.25" customHeight="1" s="70">
      <c r="A126" t="n">
        <v>24</v>
      </c>
      <c r="B126" t="n">
        <v>1056</v>
      </c>
      <c r="C126" s="42" t="n">
        <v>3</v>
      </c>
      <c r="D126" s="26" t="inlineStr">
        <is>
          <t xml:space="preserve">CLAMPING PLATE </t>
        </is>
      </c>
      <c r="E126" s="60" t="n">
        <v>1</v>
      </c>
      <c r="F126" s="14" t="n">
        <v>2</v>
      </c>
      <c r="G126" s="60" t="n"/>
      <c r="H126" s="22">
        <f>F126*E126</f>
        <v/>
      </c>
      <c r="I126" s="60" t="n">
        <v>0</v>
      </c>
      <c r="J126" s="22">
        <f>MAX(0,H126-I126)</f>
        <v/>
      </c>
      <c r="L126" s="60">
        <f>"BUILDABLE: "&amp;$K$124&amp;" | TOTAL REQ: "&amp;H126&amp;" | RECEIVED: "&amp;I126&amp;" | STILL REQUIRED: "&amp;MAX(0,H126-I126)</f>
        <v/>
      </c>
    </row>
    <row r="127" ht="14.25" customHeight="1" s="70">
      <c r="A127" t="n">
        <v>24</v>
      </c>
      <c r="B127" t="n">
        <v>1056</v>
      </c>
      <c r="C127" s="42" t="n">
        <v>4</v>
      </c>
      <c r="D127" s="26" t="inlineStr">
        <is>
          <t xml:space="preserve">SUPPORTING PLATE </t>
        </is>
      </c>
      <c r="E127" s="60" t="n">
        <v>1</v>
      </c>
      <c r="F127" s="14" t="n">
        <v>2</v>
      </c>
      <c r="G127" s="60" t="n"/>
      <c r="H127" s="22">
        <f>F127*E127</f>
        <v/>
      </c>
      <c r="I127" s="60" t="n">
        <v>0</v>
      </c>
      <c r="J127" s="22">
        <f>MAX(0,H127-I127)</f>
        <v/>
      </c>
      <c r="L127" s="60">
        <f>"BUILDABLE: "&amp;$K$124&amp;" | TOTAL REQ: "&amp;H127&amp;" | RECEIVED: "&amp;I127&amp;" | STILL REQUIRED: "&amp;MAX(0,H127-I127)</f>
        <v/>
      </c>
    </row>
    <row r="128" ht="14.25" customHeight="1" s="70">
      <c r="A128" s="39" t="n">
        <v>25</v>
      </c>
      <c r="B128" s="40" t="n">
        <v>1057</v>
      </c>
      <c r="C128" s="42" t="n">
        <v>1</v>
      </c>
      <c r="D128" s="26" t="inlineStr">
        <is>
          <t>Base Plate</t>
        </is>
      </c>
      <c r="E128" s="60" t="n">
        <v>1</v>
      </c>
      <c r="F128" s="14" t="n">
        <v>2</v>
      </c>
      <c r="G128" s="60" t="n"/>
      <c r="H128" s="22">
        <f>F128*E128</f>
        <v/>
      </c>
      <c r="I128" s="60" t="n">
        <v>1</v>
      </c>
      <c r="J128" s="22">
        <f>MAX(0,H128-I128)</f>
        <v/>
      </c>
      <c r="K128" s="22">
        <f>MIN(_xlfn.IFERROR(QUOTIENT(I128,E128),0),_xlfn.IFERROR(QUOTIENT(I129,E129),0),_xlfn.IFERROR(QUOTIENT(I130,E130),0),_xlfn.IFERROR(QUOTIENT(I131,E131),0),_xlfn.IFERROR(QUOTIENT(I132,E132),0),_xlfn.IFERROR(QUOTIENT(I133,E133),0))</f>
        <v/>
      </c>
      <c r="L128" s="60">
        <f>"BUILDABLE: "&amp;$K$128&amp;" | TOTAL REQ: "&amp;H128&amp;" | RECEIVED: "&amp;I128&amp;" | STILL REQUIRED: "&amp;MAX(0,H128-I128)</f>
        <v/>
      </c>
    </row>
    <row r="129" ht="14.25" customHeight="1" s="70">
      <c r="A129" t="n">
        <v>25</v>
      </c>
      <c r="B129" t="n">
        <v>1057</v>
      </c>
      <c r="C129" s="42" t="n">
        <v>2</v>
      </c>
      <c r="D129" s="26" t="inlineStr">
        <is>
          <t>Middle Plate</t>
        </is>
      </c>
      <c r="E129" s="60" t="n">
        <v>1</v>
      </c>
      <c r="F129" s="14" t="n">
        <v>2</v>
      </c>
      <c r="G129" s="60" t="n"/>
      <c r="H129" s="22">
        <f>F129*E129</f>
        <v/>
      </c>
      <c r="I129" s="60" t="n">
        <v>0</v>
      </c>
      <c r="J129" s="22">
        <f>MAX(0,H129-I129)</f>
        <v/>
      </c>
      <c r="L129" s="60">
        <f>"BUILDABLE: "&amp;$K$128&amp;" | TOTAL REQ: "&amp;H129&amp;" | RECEIVED: "&amp;I129&amp;" | STILL REQUIRED: "&amp;MAX(0,H129-I129)</f>
        <v/>
      </c>
    </row>
    <row r="130" ht="14.25" customHeight="1" s="70">
      <c r="A130" t="n">
        <v>25</v>
      </c>
      <c r="B130" t="n">
        <v>1057</v>
      </c>
      <c r="C130" s="42" t="n">
        <v>3</v>
      </c>
      <c r="D130" s="26" t="inlineStr">
        <is>
          <t>Holding Plate</t>
        </is>
      </c>
      <c r="E130" s="60" t="n">
        <v>1</v>
      </c>
      <c r="F130" s="14" t="n">
        <v>2</v>
      </c>
      <c r="G130" s="60" t="n"/>
      <c r="H130" s="22">
        <f>F130*E130</f>
        <v/>
      </c>
      <c r="I130" s="60" t="n">
        <v>1</v>
      </c>
      <c r="J130" s="22">
        <f>MAX(0,H130-I130)</f>
        <v/>
      </c>
      <c r="L130" s="60">
        <f>"BUILDABLE: "&amp;$K$128&amp;" | TOTAL REQ: "&amp;H130&amp;" | RECEIVED: "&amp;I130&amp;" | STILL REQUIRED: "&amp;MAX(0,H130-I130)</f>
        <v/>
      </c>
    </row>
    <row r="131" ht="14.25" customHeight="1" s="70">
      <c r="A131" t="n">
        <v>25</v>
      </c>
      <c r="B131" t="n">
        <v>1057</v>
      </c>
      <c r="C131" s="42" t="n">
        <v>4</v>
      </c>
      <c r="D131" s="26" t="inlineStr">
        <is>
          <t>Guiding plate</t>
        </is>
      </c>
      <c r="E131" s="60" t="n">
        <v>1</v>
      </c>
      <c r="F131" s="14" t="n">
        <v>2</v>
      </c>
      <c r="G131" s="60" t="n"/>
      <c r="H131" s="22">
        <f>F131*E131</f>
        <v/>
      </c>
      <c r="I131" s="60" t="n">
        <v>1</v>
      </c>
      <c r="J131" s="22">
        <f>MAX(0,H131-I131)</f>
        <v/>
      </c>
      <c r="L131" s="60">
        <f>"BUILDABLE: "&amp;$K$128&amp;" | TOTAL REQ: "&amp;H131&amp;" | RECEIVED: "&amp;I131&amp;" | STILL REQUIRED: "&amp;MAX(0,H131-I131)</f>
        <v/>
      </c>
    </row>
    <row r="132" ht="14.25" customHeight="1" s="70">
      <c r="A132" t="n">
        <v>25</v>
      </c>
      <c r="B132" t="n">
        <v>1057</v>
      </c>
      <c r="C132" s="42" t="n">
        <v>5</v>
      </c>
      <c r="D132" s="26" t="inlineStr">
        <is>
          <t>Expanding Plug</t>
        </is>
      </c>
      <c r="E132" s="60" t="n">
        <v>1</v>
      </c>
      <c r="F132" s="14" t="n">
        <v>2</v>
      </c>
      <c r="G132" s="60" t="n"/>
      <c r="H132" s="22">
        <f>F132*E132</f>
        <v/>
      </c>
      <c r="I132" s="60" t="n">
        <v>1</v>
      </c>
      <c r="J132" s="22">
        <f>MAX(0,H132-I132)</f>
        <v/>
      </c>
      <c r="L132" s="60">
        <f>"BUILDABLE: "&amp;$K$128&amp;" | TOTAL REQ: "&amp;H132&amp;" | RECEIVED: "&amp;I132&amp;" | STILL REQUIRED: "&amp;MAX(0,H132-I132)</f>
        <v/>
      </c>
    </row>
    <row r="133" ht="14.25" customHeight="1" s="70">
      <c r="A133" t="n">
        <v>25</v>
      </c>
      <c r="B133" t="n">
        <v>1057</v>
      </c>
      <c r="C133" s="42" t="n">
        <v>6</v>
      </c>
      <c r="D133" s="26" t="inlineStr">
        <is>
          <t>Bush</t>
        </is>
      </c>
      <c r="E133" s="60" t="n">
        <v>3</v>
      </c>
      <c r="F133" s="14" t="n">
        <v>2</v>
      </c>
      <c r="G133" s="60" t="n"/>
      <c r="H133" s="22">
        <f>F133*E133</f>
        <v/>
      </c>
      <c r="I133" s="60" t="n">
        <v>3</v>
      </c>
      <c r="J133" s="22">
        <f>MAX(0,H133-I133)</f>
        <v/>
      </c>
      <c r="L133" s="60">
        <f>"BUILDABLE: "&amp;$K$128&amp;" | TOTAL REQ: "&amp;H133&amp;" | RECEIVED: "&amp;I133&amp;" | STILL REQUIRED: "&amp;MAX(0,H133-I133)</f>
        <v/>
      </c>
    </row>
    <row r="134" ht="14.25" customHeight="1" s="70">
      <c r="A134" s="39" t="n">
        <v>26</v>
      </c>
      <c r="B134" s="40" t="n">
        <v>1059</v>
      </c>
      <c r="C134" s="42" t="n">
        <v>1</v>
      </c>
      <c r="D134" s="26" t="inlineStr">
        <is>
          <t>Top PLate</t>
        </is>
      </c>
      <c r="E134" s="60" t="n">
        <v>1</v>
      </c>
      <c r="F134" s="14" t="n">
        <v>2</v>
      </c>
      <c r="G134" s="60" t="n"/>
      <c r="H134" s="22">
        <f>F134*E134</f>
        <v/>
      </c>
      <c r="I134" s="60" t="n">
        <v>0</v>
      </c>
      <c r="J134" s="22">
        <f>MAX(0,H134-I134)</f>
        <v/>
      </c>
      <c r="K134" s="22">
        <f>MIN(_xlfn.IFERROR(QUOTIENT(I134,E134),0),_xlfn.IFERROR(QUOTIENT(I135,E135),0),_xlfn.IFERROR(QUOTIENT(I136,E136),0))</f>
        <v/>
      </c>
      <c r="L134" s="60">
        <f>"BUILDABLE: "&amp;$K$134&amp;" | TOTAL REQ: "&amp;H134&amp;" | RECEIVED: "&amp;I134&amp;" | STILL REQUIRED: "&amp;MAX(0,H134-I134)</f>
        <v/>
      </c>
    </row>
    <row r="135" ht="14.25" customHeight="1" s="70">
      <c r="A135" t="n">
        <v>26</v>
      </c>
      <c r="B135" t="n">
        <v>1059</v>
      </c>
      <c r="C135" s="42" t="n">
        <v>2</v>
      </c>
      <c r="D135" s="26" t="inlineStr">
        <is>
          <t>Bottom Plate</t>
        </is>
      </c>
      <c r="E135" s="60" t="n">
        <v>1</v>
      </c>
      <c r="F135" s="14" t="n">
        <v>2</v>
      </c>
      <c r="G135" s="60" t="n"/>
      <c r="H135" s="22">
        <f>F135*E135</f>
        <v/>
      </c>
      <c r="I135" s="60" t="n">
        <v>0</v>
      </c>
      <c r="J135" s="22">
        <f>MAX(0,H135-I135)</f>
        <v/>
      </c>
      <c r="L135" s="60">
        <f>"BUILDABLE: "&amp;$K$134&amp;" | TOTAL REQ: "&amp;H135&amp;" | RECEIVED: "&amp;I135&amp;" | STILL REQUIRED: "&amp;MAX(0,H135-I135)</f>
        <v/>
      </c>
    </row>
    <row r="136" ht="14.25" customHeight="1" s="70">
      <c r="A136" t="n">
        <v>26</v>
      </c>
      <c r="B136" t="n">
        <v>1059</v>
      </c>
      <c r="C136" s="42" t="n">
        <v>3</v>
      </c>
      <c r="D136" s="26" t="inlineStr">
        <is>
          <t>Clamp</t>
        </is>
      </c>
      <c r="E136" s="60" t="n">
        <v>1</v>
      </c>
      <c r="F136" s="14" t="n">
        <v>2</v>
      </c>
      <c r="G136" s="60" t="n"/>
      <c r="H136" s="22">
        <f>F136*E136</f>
        <v/>
      </c>
      <c r="I136" s="60" t="n">
        <v>0</v>
      </c>
      <c r="J136" s="22">
        <f>MAX(0,H136-I136)</f>
        <v/>
      </c>
      <c r="L136" s="60">
        <f>"BUILDABLE: "&amp;$K$134&amp;" | TOTAL REQ: "&amp;H136&amp;" | RECEIVED: "&amp;I136&amp;" | STILL REQUIRED: "&amp;MAX(0,H136-I136)</f>
        <v/>
      </c>
    </row>
    <row r="137" ht="14.25" customHeight="1" s="70">
      <c r="A137" s="39" t="n">
        <v>27</v>
      </c>
      <c r="B137" s="40" t="n">
        <v>1060</v>
      </c>
      <c r="C137" s="42" t="n">
        <v>1</v>
      </c>
      <c r="D137" s="26" t="inlineStr">
        <is>
          <t>Bottom Plate</t>
        </is>
      </c>
      <c r="E137" s="60" t="n">
        <v>1</v>
      </c>
      <c r="F137" s="14" t="n">
        <v>2</v>
      </c>
      <c r="G137" s="60" t="n"/>
      <c r="H137" s="22">
        <f>F137*E137</f>
        <v/>
      </c>
      <c r="I137" s="60" t="n">
        <v>0</v>
      </c>
      <c r="J137" s="22">
        <f>MAX(0,H137-I137)</f>
        <v/>
      </c>
      <c r="K137" s="22">
        <f>MIN(_xlfn.IFERROR(QUOTIENT(I137,E137),0),_xlfn.IFERROR(QUOTIENT(I138,E138),0),_xlfn.IFERROR(QUOTIENT(I139,E139),0),_xlfn.IFERROR(QUOTIENT(I140,E140),0))</f>
        <v/>
      </c>
      <c r="L137" s="60">
        <f>"BUILDABLE: "&amp;$K$137&amp;" | TOTAL REQ: "&amp;H137&amp;" | RECEIVED: "&amp;I137&amp;" | STILL REQUIRED: "&amp;MAX(0,H137-I137)</f>
        <v/>
      </c>
    </row>
    <row r="138" ht="14.25" customHeight="1" s="70">
      <c r="A138" t="n">
        <v>27</v>
      </c>
      <c r="B138" t="n">
        <v>1060</v>
      </c>
      <c r="C138" s="42" t="n">
        <v>2</v>
      </c>
      <c r="D138" s="26" t="inlineStr">
        <is>
          <t>Tie Rods</t>
        </is>
      </c>
      <c r="E138" s="60" t="n">
        <v>4</v>
      </c>
      <c r="F138" s="14" t="n">
        <v>2</v>
      </c>
      <c r="G138" s="60" t="n"/>
      <c r="H138" s="22">
        <f>F138*E138</f>
        <v/>
      </c>
      <c r="I138" s="60" t="n">
        <v>0</v>
      </c>
      <c r="J138" s="22">
        <f>MAX(0,H138-I138)</f>
        <v/>
      </c>
      <c r="L138" s="60">
        <f>"BUILDABLE: "&amp;$K$137&amp;" | TOTAL REQ: "&amp;H138&amp;" | RECEIVED: "&amp;I138&amp;" | STILL REQUIRED: "&amp;MAX(0,H138-I138)</f>
        <v/>
      </c>
    </row>
    <row r="139" ht="14.25" customHeight="1" s="70">
      <c r="A139" t="n">
        <v>27</v>
      </c>
      <c r="B139" t="n">
        <v>1060</v>
      </c>
      <c r="C139" s="42" t="n">
        <v>3</v>
      </c>
      <c r="D139" s="26" t="inlineStr">
        <is>
          <t>Top Cover</t>
        </is>
      </c>
      <c r="E139" s="60" t="n">
        <v>1</v>
      </c>
      <c r="F139" s="14" t="n">
        <v>2</v>
      </c>
      <c r="G139" s="60" t="n"/>
      <c r="H139" s="22">
        <f>F139*E139</f>
        <v/>
      </c>
      <c r="I139" s="60" t="n">
        <v>4</v>
      </c>
      <c r="J139" s="22">
        <f>MAX(0,H139-I139)</f>
        <v/>
      </c>
      <c r="L139" s="60">
        <f>"BUILDABLE: "&amp;$K$137&amp;" | TOTAL REQ: "&amp;H139&amp;" | RECEIVED: "&amp;I139&amp;" | STILL REQUIRED: "&amp;MAX(0,H139-I139)</f>
        <v/>
      </c>
    </row>
    <row r="140" ht="14.25" customHeight="1" s="70">
      <c r="A140" t="n">
        <v>27</v>
      </c>
      <c r="B140" t="n">
        <v>1060</v>
      </c>
      <c r="C140" s="42" t="n">
        <v>4</v>
      </c>
      <c r="D140" s="26" t="inlineStr">
        <is>
          <t>Middle Plate</t>
        </is>
      </c>
      <c r="E140" s="60" t="n">
        <v>1</v>
      </c>
      <c r="F140" s="14" t="n">
        <v>2</v>
      </c>
      <c r="G140" s="60" t="n"/>
      <c r="H140" s="22">
        <f>F140*E140</f>
        <v/>
      </c>
      <c r="I140" s="60" t="n">
        <v>0</v>
      </c>
      <c r="J140" s="22">
        <f>MAX(0,H140-I140)</f>
        <v/>
      </c>
      <c r="L140" s="60">
        <f>"BUILDABLE: "&amp;$K$137&amp;" | TOTAL REQ: "&amp;H140&amp;" | RECEIVED: "&amp;I140&amp;" | STILL REQUIRED: "&amp;MAX(0,H140-I140)</f>
        <v/>
      </c>
    </row>
    <row r="141" ht="14.25" customHeight="1" s="70">
      <c r="A141" s="39" t="n">
        <v>28</v>
      </c>
      <c r="B141" s="40" t="n">
        <v>1062</v>
      </c>
      <c r="C141" s="42" t="n">
        <v>1</v>
      </c>
      <c r="D141" s="26" t="inlineStr">
        <is>
          <t>Top Plug</t>
        </is>
      </c>
      <c r="E141" s="60" t="n">
        <v>1</v>
      </c>
      <c r="F141" s="14" t="n">
        <v>2</v>
      </c>
      <c r="G141" s="60" t="n"/>
      <c r="H141" s="22">
        <f>F141*E141</f>
        <v/>
      </c>
      <c r="I141" s="60" t="n">
        <v>2</v>
      </c>
      <c r="J141" s="22">
        <f>MAX(0,H141-I141)</f>
        <v/>
      </c>
      <c r="K141" s="22">
        <f>MIN(_xlfn.IFERROR(QUOTIENT(I141,E141),0),_xlfn.IFERROR(QUOTIENT(I142,E142),0),_xlfn.IFERROR(QUOTIENT(I143,E143),0),_xlfn.IFERROR(QUOTIENT(I144,E144),0),_xlfn.IFERROR(QUOTIENT(I145,E145),0),_xlfn.IFERROR(QUOTIENT(I146,E146),0),_xlfn.IFERROR(QUOTIENT(I147,E147),0),_xlfn.IFERROR(QUOTIENT(I148,E148),0),_xlfn.IFERROR(QUOTIENT(I149,E149),0))</f>
        <v/>
      </c>
      <c r="L141" s="60">
        <f>"BUILDABLE: "&amp;$K$141&amp;" | TOTAL REQ: "&amp;H141&amp;" | RECEIVED: "&amp;I141&amp;" | STILL REQUIRED: "&amp;MAX(0,H141-I141)</f>
        <v/>
      </c>
    </row>
    <row r="142" ht="14.25" customHeight="1" s="70">
      <c r="A142" t="n">
        <v>28</v>
      </c>
      <c r="B142" t="n">
        <v>1062</v>
      </c>
      <c r="C142" s="42" t="n">
        <v>2</v>
      </c>
      <c r="D142" s="26" t="inlineStr">
        <is>
          <t>Bottom Plug</t>
        </is>
      </c>
      <c r="E142" s="60" t="n">
        <v>1</v>
      </c>
      <c r="F142" s="14" t="n">
        <v>2</v>
      </c>
      <c r="G142" s="60" t="n"/>
      <c r="H142" s="22">
        <f>F142*E142</f>
        <v/>
      </c>
      <c r="I142" s="60" t="n">
        <v>0</v>
      </c>
      <c r="J142" s="22">
        <f>MAX(0,H142-I142)</f>
        <v/>
      </c>
      <c r="L142" s="60">
        <f>"BUILDABLE: "&amp;$K$141&amp;" | TOTAL REQ: "&amp;H142&amp;" | RECEIVED: "&amp;I142&amp;" | STILL REQUIRED: "&amp;MAX(0,H142-I142)</f>
        <v/>
      </c>
    </row>
    <row r="143" ht="14.25" customHeight="1" s="70">
      <c r="A143" t="n">
        <v>28</v>
      </c>
      <c r="B143" t="n">
        <v>1062</v>
      </c>
      <c r="C143" s="42" t="n">
        <v>3</v>
      </c>
      <c r="D143" s="26" t="inlineStr">
        <is>
          <t>Bottom Plug Plate</t>
        </is>
      </c>
      <c r="E143" s="60" t="n">
        <v>1</v>
      </c>
      <c r="F143" s="14" t="n">
        <v>2</v>
      </c>
      <c r="G143" s="60" t="n"/>
      <c r="H143" s="22">
        <f>F143*E143</f>
        <v/>
      </c>
      <c r="I143" s="60" t="n">
        <v>2</v>
      </c>
      <c r="J143" s="22">
        <f>MAX(0,H143-I143)</f>
        <v/>
      </c>
      <c r="L143" s="60">
        <f>"BUILDABLE: "&amp;$K$141&amp;" | TOTAL REQ: "&amp;H143&amp;" | RECEIVED: "&amp;I143&amp;" | STILL REQUIRED: "&amp;MAX(0,H143-I143)</f>
        <v/>
      </c>
    </row>
    <row r="144" ht="14.25" customHeight="1" s="70">
      <c r="A144" t="n">
        <v>28</v>
      </c>
      <c r="B144" t="n">
        <v>1062</v>
      </c>
      <c r="C144" s="42" t="n">
        <v>4</v>
      </c>
      <c r="D144" s="26" t="inlineStr">
        <is>
          <t>Shim</t>
        </is>
      </c>
      <c r="E144" s="60" t="n">
        <v>4</v>
      </c>
      <c r="F144" s="14" t="n">
        <v>2</v>
      </c>
      <c r="G144" s="60" t="n"/>
      <c r="H144" s="22">
        <f>F144*E144</f>
        <v/>
      </c>
      <c r="I144" s="60" t="n">
        <v>3</v>
      </c>
      <c r="J144" s="22">
        <f>MAX(0,H144-I144)</f>
        <v/>
      </c>
      <c r="L144" s="60">
        <f>"BUILDABLE: "&amp;$K$141&amp;" | TOTAL REQ: "&amp;H144&amp;" | RECEIVED: "&amp;I144&amp;" | STILL REQUIRED: "&amp;MAX(0,H144-I144)</f>
        <v/>
      </c>
    </row>
    <row r="145" ht="14.25" customHeight="1" s="70">
      <c r="A145" t="n">
        <v>28</v>
      </c>
      <c r="B145" t="n">
        <v>1062</v>
      </c>
      <c r="C145" s="42" t="n">
        <v>5</v>
      </c>
      <c r="D145" s="26" t="inlineStr">
        <is>
          <t>Rod</t>
        </is>
      </c>
      <c r="E145" s="60" t="n">
        <v>1</v>
      </c>
      <c r="F145" s="14" t="n">
        <v>2</v>
      </c>
      <c r="G145" s="60" t="n"/>
      <c r="H145" s="22">
        <f>F145*E145</f>
        <v/>
      </c>
      <c r="I145" s="60" t="n">
        <v>0</v>
      </c>
      <c r="J145" s="22">
        <f>MAX(0,H145-I145)</f>
        <v/>
      </c>
      <c r="L145" s="60">
        <f>"BUILDABLE: "&amp;$K$141&amp;" | TOTAL REQ: "&amp;H145&amp;" | RECEIVED: "&amp;I145&amp;" | STILL REQUIRED: "&amp;MAX(0,H145-I145)</f>
        <v/>
      </c>
    </row>
    <row r="146" ht="14.25" customHeight="1" s="70">
      <c r="A146" t="n">
        <v>28</v>
      </c>
      <c r="B146" t="n">
        <v>1062</v>
      </c>
      <c r="C146" s="42" t="n">
        <v>8</v>
      </c>
      <c r="D146" s="26" t="inlineStr">
        <is>
          <t>Bottom retainer</t>
        </is>
      </c>
      <c r="E146" s="60" t="n">
        <v>1</v>
      </c>
      <c r="F146" s="14" t="n">
        <v>2</v>
      </c>
      <c r="G146" s="60" t="n"/>
      <c r="H146" s="22">
        <f>F146*E146</f>
        <v/>
      </c>
      <c r="I146" s="60" t="n">
        <v>7</v>
      </c>
      <c r="J146" s="22">
        <f>MAX(0,H146-I146)</f>
        <v/>
      </c>
      <c r="L146" s="60">
        <f>"BUILDABLE: "&amp;$K$141&amp;" | TOTAL REQ: "&amp;H146&amp;" | RECEIVED: "&amp;I146&amp;" | STILL REQUIRED: "&amp;MAX(0,H146-I146)</f>
        <v/>
      </c>
    </row>
    <row r="147" ht="14.25" customHeight="1" s="70">
      <c r="A147" t="n">
        <v>28</v>
      </c>
      <c r="B147" t="n">
        <v>1062</v>
      </c>
      <c r="C147" s="42" t="n">
        <v>9</v>
      </c>
      <c r="D147" s="26" t="inlineStr">
        <is>
          <t>Top Retainer</t>
        </is>
      </c>
      <c r="E147" s="60" t="n">
        <v>1</v>
      </c>
      <c r="F147" s="14" t="n">
        <v>2</v>
      </c>
      <c r="G147" s="60" t="n"/>
      <c r="H147" s="22">
        <f>F147*E147</f>
        <v/>
      </c>
      <c r="I147" s="60" t="n">
        <v>6</v>
      </c>
      <c r="J147" s="22">
        <f>MAX(0,H147-I147)</f>
        <v/>
      </c>
      <c r="L147" s="60">
        <f>"BUILDABLE: "&amp;$K$141&amp;" | TOTAL REQ: "&amp;H147&amp;" | RECEIVED: "&amp;I147&amp;" | STILL REQUIRED: "&amp;MAX(0,H147-I147)</f>
        <v/>
      </c>
    </row>
    <row r="148" ht="14.25" customHeight="1" s="70">
      <c r="A148" t="n">
        <v>28</v>
      </c>
      <c r="B148" t="n">
        <v>1062</v>
      </c>
      <c r="C148" s="42" t="n">
        <v>12</v>
      </c>
      <c r="D148" s="26" t="inlineStr">
        <is>
          <t>Support Plate 1</t>
        </is>
      </c>
      <c r="E148" s="60" t="n">
        <v>4</v>
      </c>
      <c r="F148" s="14" t="n">
        <v>2</v>
      </c>
      <c r="G148" s="60" t="n"/>
      <c r="H148" s="22">
        <f>F148*E148</f>
        <v/>
      </c>
      <c r="I148" s="60" t="n">
        <v>3</v>
      </c>
      <c r="J148" s="22">
        <f>MAX(0,H148-I148)</f>
        <v/>
      </c>
      <c r="L148" s="60">
        <f>"BUILDABLE: "&amp;$K$141&amp;" | TOTAL REQ: "&amp;H148&amp;" | RECEIVED: "&amp;I148&amp;" | STILL REQUIRED: "&amp;MAX(0,H148-I148)</f>
        <v/>
      </c>
    </row>
    <row r="149" ht="14.25" customHeight="1" s="70">
      <c r="A149" t="n">
        <v>28</v>
      </c>
      <c r="B149" t="n">
        <v>1062</v>
      </c>
      <c r="C149" s="42" t="n">
        <v>13</v>
      </c>
      <c r="D149" s="26" t="inlineStr">
        <is>
          <t>Support Plate 2</t>
        </is>
      </c>
      <c r="E149" s="60" t="n">
        <v>4</v>
      </c>
      <c r="F149" s="14" t="n">
        <v>2</v>
      </c>
      <c r="G149" s="60" t="n"/>
      <c r="H149" s="22">
        <f>F149*E149</f>
        <v/>
      </c>
      <c r="I149" s="60" t="n">
        <v>2</v>
      </c>
      <c r="J149" s="22">
        <f>MAX(0,H149-I149)</f>
        <v/>
      </c>
      <c r="L149" s="60">
        <f>"BUILDABLE: "&amp;$K$141&amp;" | TOTAL REQ: "&amp;H149&amp;" | RECEIVED: "&amp;I149&amp;" | STILL REQUIRED: "&amp;MAX(0,H149-I149)</f>
        <v/>
      </c>
    </row>
    <row r="150" ht="14.25" customHeight="1" s="70">
      <c r="A150" s="39" t="n">
        <v>29</v>
      </c>
      <c r="B150" s="40" t="n">
        <v>1065</v>
      </c>
      <c r="C150" s="42" t="n">
        <v>1</v>
      </c>
      <c r="D150" s="26" t="inlineStr">
        <is>
          <t>Base</t>
        </is>
      </c>
      <c r="E150" s="60" t="n">
        <v>1</v>
      </c>
      <c r="F150" s="14" t="n">
        <v>2</v>
      </c>
      <c r="G150" s="60" t="n"/>
      <c r="H150" s="22">
        <f>F150*E150</f>
        <v/>
      </c>
      <c r="I150" s="60" t="n">
        <v>0</v>
      </c>
      <c r="J150" s="22">
        <f>MAX(0,H150-I150)</f>
        <v/>
      </c>
      <c r="K150" s="22">
        <f>MIN(_xlfn.IFERROR(QUOTIENT(I150,E150),0),_xlfn.IFERROR(QUOTIENT(I151,E151),0),_xlfn.IFERROR(QUOTIENT(I152,E152),0),_xlfn.IFERROR(QUOTIENT(I153,E153),0))</f>
        <v/>
      </c>
      <c r="L150" s="60">
        <f>"BUILDABLE: "&amp;$K$150&amp;" | TOTAL REQ: "&amp;H150&amp;" | RECEIVED: "&amp;I150&amp;" | STILL REQUIRED: "&amp;MAX(0,H150-I150)</f>
        <v/>
      </c>
    </row>
    <row r="151" ht="14.25" customHeight="1" s="70">
      <c r="A151" t="n">
        <v>29</v>
      </c>
      <c r="B151" t="n">
        <v>1065</v>
      </c>
      <c r="C151" s="42" t="n">
        <v>2</v>
      </c>
      <c r="D151" s="26" t="inlineStr">
        <is>
          <t>Locating plug</t>
        </is>
      </c>
      <c r="E151" s="60" t="n">
        <v>1</v>
      </c>
      <c r="F151" s="14" t="n">
        <v>2</v>
      </c>
      <c r="G151" s="60" t="n"/>
      <c r="H151" s="22">
        <f>F151*E151</f>
        <v/>
      </c>
      <c r="I151" s="60" t="n">
        <v>0</v>
      </c>
      <c r="J151" s="22">
        <f>MAX(0,H151-I151)</f>
        <v/>
      </c>
      <c r="L151" s="60">
        <f>"BUILDABLE: "&amp;$K$150&amp;" | TOTAL REQ: "&amp;H151&amp;" | RECEIVED: "&amp;I151&amp;" | STILL REQUIRED: "&amp;MAX(0,H151-I151)</f>
        <v/>
      </c>
    </row>
    <row r="152" ht="14.25" customHeight="1" s="70">
      <c r="A152" t="n">
        <v>29</v>
      </c>
      <c r="B152" t="n">
        <v>1065</v>
      </c>
      <c r="C152" s="42" t="n">
        <v>3</v>
      </c>
      <c r="D152" s="26" t="inlineStr">
        <is>
          <t>Top Plate</t>
        </is>
      </c>
      <c r="E152" s="60" t="n">
        <v>1</v>
      </c>
      <c r="F152" s="14" t="n">
        <v>2</v>
      </c>
      <c r="G152" s="60" t="n"/>
      <c r="H152" s="22">
        <f>F152*E152</f>
        <v/>
      </c>
      <c r="I152" s="60" t="n">
        <v>0</v>
      </c>
      <c r="J152" s="22">
        <f>MAX(0,H152-I152)</f>
        <v/>
      </c>
      <c r="L152" s="60">
        <f>"BUILDABLE: "&amp;$K$150&amp;" | TOTAL REQ: "&amp;H152&amp;" | RECEIVED: "&amp;I152&amp;" | STILL REQUIRED: "&amp;MAX(0,H152-I152)</f>
        <v/>
      </c>
    </row>
    <row r="153" ht="14.25" customHeight="1" s="70">
      <c r="A153" t="n">
        <v>29</v>
      </c>
      <c r="B153" t="n">
        <v>1065</v>
      </c>
      <c r="C153" s="42" t="n">
        <v>4</v>
      </c>
      <c r="D153" s="26" t="inlineStr">
        <is>
          <t>Swivel Lock</t>
        </is>
      </c>
      <c r="E153" s="60" t="n">
        <v>1</v>
      </c>
      <c r="F153" s="14" t="n">
        <v>2</v>
      </c>
      <c r="G153" s="60" t="n"/>
      <c r="H153" s="22">
        <f>F153*E153</f>
        <v/>
      </c>
      <c r="I153" s="60" t="n">
        <v>0</v>
      </c>
      <c r="J153" s="22">
        <f>MAX(0,H153-I153)</f>
        <v/>
      </c>
      <c r="L153" s="60">
        <f>"BUILDABLE: "&amp;$K$150&amp;" | TOTAL REQ: "&amp;H153&amp;" | RECEIVED: "&amp;I153&amp;" | STILL REQUIRED: "&amp;MAX(0,H153-I153)</f>
        <v/>
      </c>
    </row>
    <row r="154" ht="14.25" customHeight="1" s="70">
      <c r="A154" s="39" t="n">
        <v>30</v>
      </c>
      <c r="B154" s="40" t="n">
        <v>1066</v>
      </c>
      <c r="C154" s="42" t="n">
        <v>1</v>
      </c>
      <c r="D154" s="26" t="inlineStr">
        <is>
          <t>Base Plate</t>
        </is>
      </c>
      <c r="E154" s="60" t="n">
        <v>1</v>
      </c>
      <c r="F154" s="14" t="n">
        <v>2</v>
      </c>
      <c r="G154" s="60" t="n"/>
      <c r="H154" s="22">
        <f>F154*E154</f>
        <v/>
      </c>
      <c r="I154" s="60" t="n">
        <v>0</v>
      </c>
      <c r="J154" s="22">
        <f>MAX(0,H154-I154)</f>
        <v/>
      </c>
      <c r="K154" s="22">
        <f>MIN(_xlfn.IFERROR(QUOTIENT(I154,E154),0))</f>
        <v/>
      </c>
      <c r="L154" s="60">
        <f>"BUILDABLE: "&amp;$K$154&amp;" | TOTAL REQ: "&amp;H154&amp;" | RECEIVED: "&amp;I154&amp;" | STILL REQUIRED: "&amp;MAX(0,H154-I154)</f>
        <v/>
      </c>
    </row>
    <row r="155" ht="14.25" customHeight="1" s="70">
      <c r="A155" s="39" t="n">
        <v>31</v>
      </c>
      <c r="B155" s="40" t="n">
        <v>1067</v>
      </c>
      <c r="C155" s="42" t="n">
        <v>1</v>
      </c>
      <c r="D155" s="26" t="inlineStr">
        <is>
          <t>Base Plate</t>
        </is>
      </c>
      <c r="E155" s="60" t="n">
        <v>1</v>
      </c>
      <c r="F155" s="14" t="n">
        <v>2</v>
      </c>
      <c r="G155" s="60" t="n"/>
      <c r="H155" s="22">
        <f>F155*E155</f>
        <v/>
      </c>
      <c r="I155" s="60" t="n">
        <v>0</v>
      </c>
      <c r="J155" s="22">
        <f>MAX(0,H155-I155)</f>
        <v/>
      </c>
      <c r="K155" s="22">
        <f>MIN(_xlfn.IFERROR(QUOTIENT(I155,E155),0))</f>
        <v/>
      </c>
      <c r="L155" s="60">
        <f>"BUILDABLE: "&amp;$K$155&amp;" | TOTAL REQ: "&amp;H155&amp;" | RECEIVED: "&amp;I155&amp;" | STILL REQUIRED: "&amp;MAX(0,H155-I155)</f>
        <v/>
      </c>
    </row>
    <row r="156" ht="14.25" customHeight="1" s="70">
      <c r="A156" s="39" t="n">
        <v>32</v>
      </c>
      <c r="B156" s="40" t="n">
        <v>1069</v>
      </c>
      <c r="C156" s="42" t="n">
        <v>1</v>
      </c>
      <c r="D156" s="26" t="inlineStr">
        <is>
          <t>Top Plate</t>
        </is>
      </c>
      <c r="E156" s="60" t="n">
        <v>1</v>
      </c>
      <c r="F156" s="14" t="n">
        <v>2</v>
      </c>
      <c r="G156" s="60" t="n"/>
      <c r="H156" s="22">
        <f>F156*E156</f>
        <v/>
      </c>
      <c r="I156" s="60" t="n">
        <v>0</v>
      </c>
      <c r="J156" s="22">
        <f>MAX(0,H156-I156)</f>
        <v/>
      </c>
      <c r="K156" s="22">
        <f>MIN(_xlfn.IFERROR(QUOTIENT(I156,E156),0),_xlfn.IFERROR(QUOTIENT(I157,E157),0),_xlfn.IFERROR(QUOTIENT(I158,E158),0),_xlfn.IFERROR(QUOTIENT(I159,E159),0),_xlfn.IFERROR(QUOTIENT(I160,E160),0),_xlfn.IFERROR(QUOTIENT(I161,E161),0))</f>
        <v/>
      </c>
      <c r="L156" s="60">
        <f>"BUILDABLE: "&amp;$K$156&amp;" | TOTAL REQ: "&amp;H156&amp;" | RECEIVED: "&amp;I156&amp;" | STILL REQUIRED: "&amp;MAX(0,H156-I156)</f>
        <v/>
      </c>
    </row>
    <row r="157" ht="14.25" customHeight="1" s="70">
      <c r="A157" t="n">
        <v>32</v>
      </c>
      <c r="B157" t="n">
        <v>1069</v>
      </c>
      <c r="C157" s="42" t="n">
        <v>2</v>
      </c>
      <c r="D157" s="26" t="inlineStr">
        <is>
          <t>Middle Plate</t>
        </is>
      </c>
      <c r="E157" s="60" t="n">
        <v>1</v>
      </c>
      <c r="F157" s="14" t="n">
        <v>2</v>
      </c>
      <c r="G157" s="60" t="n"/>
      <c r="H157" s="22">
        <f>F157*E157</f>
        <v/>
      </c>
      <c r="I157" s="60" t="n">
        <v>0</v>
      </c>
      <c r="J157" s="22">
        <f>MAX(0,H157-I157)</f>
        <v/>
      </c>
      <c r="L157" s="60">
        <f>"BUILDABLE: "&amp;$K$156&amp;" | TOTAL REQ: "&amp;H157&amp;" | RECEIVED: "&amp;I157&amp;" | STILL REQUIRED: "&amp;MAX(0,H157-I157)</f>
        <v/>
      </c>
    </row>
    <row r="158" ht="14.25" customHeight="1" s="70">
      <c r="A158" t="n">
        <v>32</v>
      </c>
      <c r="B158" t="n">
        <v>1069</v>
      </c>
      <c r="C158" s="42" t="n">
        <v>3</v>
      </c>
      <c r="D158" s="26" t="inlineStr">
        <is>
          <t>Tie Rods</t>
        </is>
      </c>
      <c r="E158" s="60" t="n">
        <v>4</v>
      </c>
      <c r="F158" s="14" t="n">
        <v>2</v>
      </c>
      <c r="G158" s="60" t="n"/>
      <c r="H158" s="22">
        <f>F158*E158</f>
        <v/>
      </c>
      <c r="I158" s="60" t="n">
        <v>0</v>
      </c>
      <c r="J158" s="22">
        <f>MAX(0,H158-I158)</f>
        <v/>
      </c>
      <c r="L158" s="60">
        <f>"BUILDABLE: "&amp;$K$156&amp;" | TOTAL REQ: "&amp;H158&amp;" | RECEIVED: "&amp;I158&amp;" | STILL REQUIRED: "&amp;MAX(0,H158-I158)</f>
        <v/>
      </c>
    </row>
    <row r="159" ht="14.25" customHeight="1" s="70">
      <c r="A159" t="n">
        <v>32</v>
      </c>
      <c r="B159" t="n">
        <v>1069</v>
      </c>
      <c r="C159" s="42" t="n">
        <v>4</v>
      </c>
      <c r="D159" s="26" t="inlineStr">
        <is>
          <t>Bottom Plate</t>
        </is>
      </c>
      <c r="E159" s="60" t="n">
        <v>1</v>
      </c>
      <c r="F159" s="14" t="n">
        <v>2</v>
      </c>
      <c r="G159" s="60" t="n"/>
      <c r="H159" s="22">
        <f>F159*E159</f>
        <v/>
      </c>
      <c r="I159" s="60" t="n">
        <v>0</v>
      </c>
      <c r="J159" s="22">
        <f>MAX(0,H159-I159)</f>
        <v/>
      </c>
      <c r="L159" s="60">
        <f>"BUILDABLE: "&amp;$K$156&amp;" | TOTAL REQ: "&amp;H159&amp;" | RECEIVED: "&amp;I159&amp;" | STILL REQUIRED: "&amp;MAX(0,H159-I159)</f>
        <v/>
      </c>
    </row>
    <row r="160" ht="14.25" customHeight="1" s="70">
      <c r="A160" t="n">
        <v>32</v>
      </c>
      <c r="B160" t="n">
        <v>1069</v>
      </c>
      <c r="C160" s="42" t="n">
        <v>7</v>
      </c>
      <c r="D160" s="26" t="inlineStr">
        <is>
          <t>Tie Rods</t>
        </is>
      </c>
      <c r="E160" s="60" t="n">
        <v>1</v>
      </c>
      <c r="F160" s="14" t="n">
        <v>2</v>
      </c>
      <c r="G160" s="60" t="n"/>
      <c r="H160" s="22">
        <f>F160*E160</f>
        <v/>
      </c>
      <c r="I160" s="60" t="n">
        <v>0</v>
      </c>
      <c r="J160" s="22">
        <f>MAX(0,H160-I160)</f>
        <v/>
      </c>
      <c r="L160" s="60">
        <f>"BUILDABLE: "&amp;$K$156&amp;" | TOTAL REQ: "&amp;H160&amp;" | RECEIVED: "&amp;I160&amp;" | STILL REQUIRED: "&amp;MAX(0,H160-I160)</f>
        <v/>
      </c>
    </row>
    <row r="161" ht="14.25" customHeight="1" s="70">
      <c r="A161" t="n">
        <v>32</v>
      </c>
      <c r="B161" t="n">
        <v>1069</v>
      </c>
      <c r="C161" s="42" t="n">
        <v>8</v>
      </c>
      <c r="D161" s="26" t="inlineStr">
        <is>
          <t>Top plate-2</t>
        </is>
      </c>
      <c r="E161" s="60" t="n">
        <v>1</v>
      </c>
      <c r="F161" s="14" t="n">
        <v>2</v>
      </c>
      <c r="G161" s="60" t="n"/>
      <c r="H161" s="22">
        <f>F161*E161</f>
        <v/>
      </c>
      <c r="I161" s="60" t="n">
        <v>0</v>
      </c>
      <c r="J161" s="22">
        <f>MAX(0,H161-I161)</f>
        <v/>
      </c>
      <c r="L161" s="60">
        <f>"BUILDABLE: "&amp;$K$156&amp;" | TOTAL REQ: "&amp;H161&amp;" | RECEIVED: "&amp;I161&amp;" | STILL REQUIRED: "&amp;MAX(0,H161-I161)</f>
        <v/>
      </c>
    </row>
    <row r="162" ht="14.25" customHeight="1" s="70">
      <c r="A162" s="39" t="n">
        <v>33</v>
      </c>
      <c r="B162" s="40" t="n">
        <v>1070</v>
      </c>
      <c r="C162" s="42" t="n">
        <v>1</v>
      </c>
      <c r="D162" s="26" t="inlineStr">
        <is>
          <t>Top plate</t>
        </is>
      </c>
      <c r="E162" s="60" t="n">
        <v>1</v>
      </c>
      <c r="F162" s="14" t="n">
        <v>2</v>
      </c>
      <c r="G162" s="60" t="n"/>
      <c r="H162" s="22">
        <f>F162*E162</f>
        <v/>
      </c>
      <c r="I162" s="60" t="n">
        <v>1</v>
      </c>
      <c r="J162" s="22">
        <f>MAX(0,H162-I162)</f>
        <v/>
      </c>
      <c r="K162" s="22">
        <f>MIN(_xlfn.IFERROR(QUOTIENT(I162,E162),0),_xlfn.IFERROR(QUOTIENT(I163,E163),0),_xlfn.IFERROR(QUOTIENT(I164,E164),0),_xlfn.IFERROR(QUOTIENT(I165,E165),0),_xlfn.IFERROR(QUOTIENT(I166,E166),0),_xlfn.IFERROR(QUOTIENT(I167,E167),0),_xlfn.IFERROR(QUOTIENT(I168,E168),0),_xlfn.IFERROR(QUOTIENT(I169,E169),0))</f>
        <v/>
      </c>
      <c r="L162" s="60">
        <f>"BUILDABLE: "&amp;$K$162&amp;" | TOTAL REQ: "&amp;H162&amp;" | RECEIVED: "&amp;I162&amp;" | STILL REQUIRED: "&amp;MAX(0,H162-I162)</f>
        <v/>
      </c>
    </row>
    <row r="163" ht="14.25" customHeight="1" s="70">
      <c r="A163" t="n">
        <v>33</v>
      </c>
      <c r="B163" t="n">
        <v>1070</v>
      </c>
      <c r="C163" s="42" t="n">
        <v>2</v>
      </c>
      <c r="D163" s="26" t="inlineStr">
        <is>
          <t>Outer Split Ring</t>
        </is>
      </c>
      <c r="E163" s="60" t="n">
        <v>1</v>
      </c>
      <c r="F163" s="14" t="n">
        <v>2</v>
      </c>
      <c r="G163" s="60" t="n"/>
      <c r="H163" s="22">
        <f>F163*E163</f>
        <v/>
      </c>
      <c r="I163" s="60" t="n">
        <v>0</v>
      </c>
      <c r="J163" s="22">
        <f>MAX(0,H163-I163)</f>
        <v/>
      </c>
      <c r="L163" s="60">
        <f>"BUILDABLE: "&amp;$K$162&amp;" | TOTAL REQ: "&amp;H163&amp;" | RECEIVED: "&amp;I163&amp;" | STILL REQUIRED: "&amp;MAX(0,H163-I163)</f>
        <v/>
      </c>
    </row>
    <row r="164" ht="14.25" customHeight="1" s="70">
      <c r="A164" t="n">
        <v>33</v>
      </c>
      <c r="B164" t="n">
        <v>1070</v>
      </c>
      <c r="C164" s="42" t="n">
        <v>3</v>
      </c>
      <c r="D164" s="26" t="inlineStr">
        <is>
          <t>Inner Split Ring</t>
        </is>
      </c>
      <c r="E164" s="60" t="n">
        <v>1</v>
      </c>
      <c r="F164" s="14" t="n">
        <v>2</v>
      </c>
      <c r="G164" s="60" t="n"/>
      <c r="H164" s="22">
        <f>F164*E164</f>
        <v/>
      </c>
      <c r="I164" s="60" t="n">
        <v>1</v>
      </c>
      <c r="J164" s="22">
        <f>MAX(0,H164-I164)</f>
        <v/>
      </c>
      <c r="L164" s="60">
        <f>"BUILDABLE: "&amp;$K$162&amp;" | TOTAL REQ: "&amp;H164&amp;" | RECEIVED: "&amp;I164&amp;" | STILL REQUIRED: "&amp;MAX(0,H164-I164)</f>
        <v/>
      </c>
    </row>
    <row r="165" ht="14.25" customHeight="1" s="70">
      <c r="A165" t="n">
        <v>33</v>
      </c>
      <c r="B165" t="n">
        <v>1070</v>
      </c>
      <c r="C165" s="42" t="n">
        <v>4</v>
      </c>
      <c r="D165" s="26" t="inlineStr">
        <is>
          <t>Bottom Plate</t>
        </is>
      </c>
      <c r="E165" s="60" t="n">
        <v>1</v>
      </c>
      <c r="F165" s="14" t="n">
        <v>2</v>
      </c>
      <c r="G165" s="60" t="n"/>
      <c r="H165" s="22">
        <f>F165*E165</f>
        <v/>
      </c>
      <c r="I165" s="60" t="n">
        <v>2</v>
      </c>
      <c r="J165" s="22">
        <f>MAX(0,H165-I165)</f>
        <v/>
      </c>
      <c r="L165" s="60">
        <f>"BUILDABLE: "&amp;$K$162&amp;" | TOTAL REQ: "&amp;H165&amp;" | RECEIVED: "&amp;I165&amp;" | STILL REQUIRED: "&amp;MAX(0,H165-I165)</f>
        <v/>
      </c>
    </row>
    <row r="166" ht="14.25" customHeight="1" s="70">
      <c r="A166" t="n">
        <v>33</v>
      </c>
      <c r="B166" t="n">
        <v>1070</v>
      </c>
      <c r="C166" s="42" t="n">
        <v>6</v>
      </c>
      <c r="D166" s="26" t="inlineStr">
        <is>
          <t>Pin</t>
        </is>
      </c>
      <c r="E166" s="60" t="n">
        <v>6</v>
      </c>
      <c r="F166" s="14" t="n">
        <v>2</v>
      </c>
      <c r="G166" s="60" t="n"/>
      <c r="H166" s="22">
        <f>F166*E166</f>
        <v/>
      </c>
      <c r="I166" s="60" t="n">
        <v>0</v>
      </c>
      <c r="J166" s="22">
        <f>MAX(0,H166-I166)</f>
        <v/>
      </c>
      <c r="L166" s="60">
        <f>"BUILDABLE: "&amp;$K$162&amp;" | TOTAL REQ: "&amp;H166&amp;" | RECEIVED: "&amp;I166&amp;" | STILL REQUIRED: "&amp;MAX(0,H166-I166)</f>
        <v/>
      </c>
    </row>
    <row r="167" ht="14.25" customHeight="1" s="70">
      <c r="A167" t="n">
        <v>33</v>
      </c>
      <c r="B167" t="n">
        <v>1070</v>
      </c>
      <c r="C167" s="42" t="n">
        <v>7</v>
      </c>
      <c r="D167" s="26" t="inlineStr">
        <is>
          <t>Support Plate</t>
        </is>
      </c>
      <c r="E167" s="60" t="n">
        <v>1</v>
      </c>
      <c r="F167" s="14" t="n">
        <v>2</v>
      </c>
      <c r="G167" s="60" t="n"/>
      <c r="H167" s="22">
        <f>F167*E167</f>
        <v/>
      </c>
      <c r="I167" s="60" t="n">
        <v>6</v>
      </c>
      <c r="J167" s="22">
        <f>MAX(0,H167-I167)</f>
        <v/>
      </c>
      <c r="L167" s="60">
        <f>"BUILDABLE: "&amp;$K$162&amp;" | TOTAL REQ: "&amp;H167&amp;" | RECEIVED: "&amp;I167&amp;" | STILL REQUIRED: "&amp;MAX(0,H167-I167)</f>
        <v/>
      </c>
    </row>
    <row r="168" ht="14.25" customHeight="1" s="70">
      <c r="A168" t="n">
        <v>33</v>
      </c>
      <c r="B168" t="n">
        <v>1070</v>
      </c>
      <c r="C168" s="42" t="n">
        <v>9</v>
      </c>
      <c r="D168" s="26" t="inlineStr">
        <is>
          <t>Guide Block</t>
        </is>
      </c>
      <c r="E168" s="60" t="n">
        <v>1</v>
      </c>
      <c r="F168" s="14" t="n">
        <v>2</v>
      </c>
      <c r="G168" s="60" t="n"/>
      <c r="H168" s="22">
        <f>F168*E168</f>
        <v/>
      </c>
      <c r="I168" s="60" t="n">
        <v>1</v>
      </c>
      <c r="J168" s="22">
        <f>MAX(0,H168-I168)</f>
        <v/>
      </c>
      <c r="L168" s="60">
        <f>"BUILDABLE: "&amp;$K$162&amp;" | TOTAL REQ: "&amp;H168&amp;" | RECEIVED: "&amp;I168&amp;" | STILL REQUIRED: "&amp;MAX(0,H168-I168)</f>
        <v/>
      </c>
    </row>
    <row r="169" ht="14.25" customHeight="1" s="70">
      <c r="A169" t="n">
        <v>33</v>
      </c>
      <c r="B169" t="n">
        <v>1070</v>
      </c>
      <c r="C169" s="42" t="n">
        <v>10</v>
      </c>
      <c r="D169" s="26" t="inlineStr">
        <is>
          <t>Dummy Height Block</t>
        </is>
      </c>
      <c r="E169" s="60" t="n">
        <v>2</v>
      </c>
      <c r="F169" s="14" t="n">
        <v>2</v>
      </c>
      <c r="G169" s="60" t="n"/>
      <c r="H169" s="22">
        <f>F169*E169</f>
        <v/>
      </c>
      <c r="I169" s="60" t="n">
        <v>0</v>
      </c>
      <c r="J169" s="22">
        <f>MAX(0,H169-I169)</f>
        <v/>
      </c>
      <c r="L169" s="60">
        <f>"BUILDABLE: "&amp;$K$162&amp;" | TOTAL REQ: "&amp;H169&amp;" | RECEIVED: "&amp;I169&amp;" | STILL REQUIRED: "&amp;MAX(0,H169-I169)</f>
        <v/>
      </c>
    </row>
    <row r="170" ht="14.25" customHeight="1" s="70">
      <c r="A170" s="39" t="n">
        <v>34</v>
      </c>
      <c r="B170" s="40" t="n">
        <v>1071</v>
      </c>
      <c r="C170" s="42" t="n">
        <v>1</v>
      </c>
      <c r="D170" s="26" t="inlineStr">
        <is>
          <t>Top cover</t>
        </is>
      </c>
      <c r="E170" s="60" t="n">
        <v>1</v>
      </c>
      <c r="F170" s="14" t="n">
        <v>2</v>
      </c>
      <c r="G170" s="60" t="n"/>
      <c r="H170" s="22">
        <f>F170*E170</f>
        <v/>
      </c>
      <c r="I170" s="60" t="n">
        <v>0</v>
      </c>
      <c r="J170" s="22">
        <f>MAX(0,H170-I170)</f>
        <v/>
      </c>
      <c r="K170" s="22">
        <f>MIN(_xlfn.IFERROR(QUOTIENT(I170,E170),0),_xlfn.IFERROR(QUOTIENT(I171,E171),0),_xlfn.IFERROR(QUOTIENT(I172,E172),0))</f>
        <v/>
      </c>
      <c r="L170" s="60">
        <f>"BUILDABLE: "&amp;$K$170&amp;" | TOTAL REQ: "&amp;H170&amp;" | RECEIVED: "&amp;I170&amp;" | STILL REQUIRED: "&amp;MAX(0,H170-I170)</f>
        <v/>
      </c>
    </row>
    <row r="171" ht="14.25" customHeight="1" s="70">
      <c r="A171" t="n">
        <v>34</v>
      </c>
      <c r="B171" t="n">
        <v>1071</v>
      </c>
      <c r="C171" s="42" t="n">
        <v>2</v>
      </c>
      <c r="D171" s="26" t="inlineStr">
        <is>
          <t>Tie Rods</t>
        </is>
      </c>
      <c r="E171" s="60" t="n">
        <v>3</v>
      </c>
      <c r="F171" s="14" t="n">
        <v>2</v>
      </c>
      <c r="G171" s="60" t="n"/>
      <c r="H171" s="22">
        <f>F171*E171</f>
        <v/>
      </c>
      <c r="I171" s="60" t="n">
        <v>0</v>
      </c>
      <c r="J171" s="22">
        <f>MAX(0,H171-I171)</f>
        <v/>
      </c>
      <c r="L171" s="60">
        <f>"BUILDABLE: "&amp;$K$170&amp;" | TOTAL REQ: "&amp;H171&amp;" | RECEIVED: "&amp;I171&amp;" | STILL REQUIRED: "&amp;MAX(0,H171-I171)</f>
        <v/>
      </c>
    </row>
    <row r="172" ht="14.25" customHeight="1" s="70">
      <c r="A172" t="n">
        <v>34</v>
      </c>
      <c r="B172" t="n">
        <v>1071</v>
      </c>
      <c r="C172" s="42" t="n">
        <v>3</v>
      </c>
      <c r="D172" s="26" t="inlineStr">
        <is>
          <t>Bottom Plate</t>
        </is>
      </c>
      <c r="E172" s="60" t="n">
        <v>1</v>
      </c>
      <c r="F172" s="14" t="n">
        <v>2</v>
      </c>
      <c r="G172" s="60" t="n"/>
      <c r="H172" s="22">
        <f>F172*E172</f>
        <v/>
      </c>
      <c r="I172" s="60" t="n">
        <v>0</v>
      </c>
      <c r="J172" s="22">
        <f>MAX(0,H172-I172)</f>
        <v/>
      </c>
      <c r="L172" s="60">
        <f>"BUILDABLE: "&amp;$K$170&amp;" | TOTAL REQ: "&amp;H172&amp;" | RECEIVED: "&amp;I172&amp;" | STILL REQUIRED: "&amp;MAX(0,H172-I172)</f>
        <v/>
      </c>
    </row>
    <row r="173" ht="14.25" customHeight="1" s="70">
      <c r="A173" s="39" t="n">
        <v>35</v>
      </c>
      <c r="B173" s="40" t="n">
        <v>1073</v>
      </c>
      <c r="C173" s="42" t="n">
        <v>1</v>
      </c>
      <c r="D173" s="26" t="inlineStr">
        <is>
          <t>Bottom Plate</t>
        </is>
      </c>
      <c r="E173" s="60" t="n">
        <v>1</v>
      </c>
      <c r="F173" s="14" t="n">
        <v>2</v>
      </c>
      <c r="G173" s="60" t="n"/>
      <c r="H173" s="22">
        <f>F173*E173</f>
        <v/>
      </c>
      <c r="I173" s="60" t="n">
        <v>0</v>
      </c>
      <c r="J173" s="22">
        <f>MAX(0,H173-I173)</f>
        <v/>
      </c>
      <c r="K173" s="22">
        <f>MIN(_xlfn.IFERROR(QUOTIENT(I173,E173),0),_xlfn.IFERROR(QUOTIENT(I174,E174),0),_xlfn.IFERROR(QUOTIENT(I175,E175),0),_xlfn.IFERROR(QUOTIENT(I176,E176),0),_xlfn.IFERROR(QUOTIENT(I177,E177),0),_xlfn.IFERROR(QUOTIENT(I178,E178),0),_xlfn.IFERROR(QUOTIENT(I179,E179),0),_xlfn.IFERROR(QUOTIENT(I180,E180),0),_xlfn.IFERROR(QUOTIENT(I181,E181),0),_xlfn.IFERROR(QUOTIENT(I182,E182),0))</f>
        <v/>
      </c>
      <c r="L173" s="60">
        <f>"BUILDABLE: "&amp;$K$173&amp;" | TOTAL REQ: "&amp;H173&amp;" | RECEIVED: "&amp;I173&amp;" | STILL REQUIRED: "&amp;MAX(0,H173-I173)</f>
        <v/>
      </c>
    </row>
    <row r="174" ht="14.25" customHeight="1" s="70">
      <c r="A174" t="n">
        <v>35</v>
      </c>
      <c r="B174" t="n">
        <v>1073</v>
      </c>
      <c r="C174" s="42" t="n">
        <v>2</v>
      </c>
      <c r="D174" s="26" t="inlineStr">
        <is>
          <t>Holding plate-1</t>
        </is>
      </c>
      <c r="E174" s="60" t="n">
        <v>1</v>
      </c>
      <c r="F174" s="14" t="n">
        <v>2</v>
      </c>
      <c r="G174" s="60" t="n"/>
      <c r="H174" s="22">
        <f>F174*E174</f>
        <v/>
      </c>
      <c r="I174" s="60" t="n">
        <v>0</v>
      </c>
      <c r="J174" s="22">
        <f>MAX(0,H174-I174)</f>
        <v/>
      </c>
      <c r="L174" s="60">
        <f>"BUILDABLE: "&amp;$K$173&amp;" | TOTAL REQ: "&amp;H174&amp;" | RECEIVED: "&amp;I174&amp;" | STILL REQUIRED: "&amp;MAX(0,H174-I174)</f>
        <v/>
      </c>
    </row>
    <row r="175" ht="14.25" customHeight="1" s="70">
      <c r="A175" t="n">
        <v>35</v>
      </c>
      <c r="B175" t="n">
        <v>1073</v>
      </c>
      <c r="C175" s="42" t="n">
        <v>3</v>
      </c>
      <c r="D175" s="26" t="inlineStr">
        <is>
          <t>Bush</t>
        </is>
      </c>
      <c r="E175" s="60" t="n">
        <v>2</v>
      </c>
      <c r="F175" s="14" t="n">
        <v>2</v>
      </c>
      <c r="G175" s="60" t="n"/>
      <c r="H175" s="22">
        <f>F175*E175</f>
        <v/>
      </c>
      <c r="I175" s="60" t="n">
        <v>0</v>
      </c>
      <c r="J175" s="22">
        <f>MAX(0,H175-I175)</f>
        <v/>
      </c>
      <c r="L175" s="60">
        <f>"BUILDABLE: "&amp;$K$173&amp;" | TOTAL REQ: "&amp;H175&amp;" | RECEIVED: "&amp;I175&amp;" | STILL REQUIRED: "&amp;MAX(0,H175-I175)</f>
        <v/>
      </c>
    </row>
    <row r="176" ht="14.25" customHeight="1" s="70">
      <c r="A176" t="n">
        <v>35</v>
      </c>
      <c r="B176" t="n">
        <v>1073</v>
      </c>
      <c r="C176" s="42" t="n">
        <v>4</v>
      </c>
      <c r="D176" s="26" t="inlineStr">
        <is>
          <t>Holding Plate</t>
        </is>
      </c>
      <c r="E176" s="60" t="n">
        <v>1</v>
      </c>
      <c r="F176" s="14" t="n">
        <v>2</v>
      </c>
      <c r="G176" s="60" t="n"/>
      <c r="H176" s="22">
        <f>F176*E176</f>
        <v/>
      </c>
      <c r="I176" s="60" t="n">
        <v>0</v>
      </c>
      <c r="J176" s="22">
        <f>MAX(0,H176-I176)</f>
        <v/>
      </c>
      <c r="L176" s="60">
        <f>"BUILDABLE: "&amp;$K$173&amp;" | TOTAL REQ: "&amp;H176&amp;" | RECEIVED: "&amp;I176&amp;" | STILL REQUIRED: "&amp;MAX(0,H176-I176)</f>
        <v/>
      </c>
    </row>
    <row r="177" ht="14.25" customHeight="1" s="70">
      <c r="A177" t="n">
        <v>35</v>
      </c>
      <c r="B177" t="n">
        <v>1073</v>
      </c>
      <c r="C177" s="42" t="n">
        <v>5</v>
      </c>
      <c r="D177" s="26" t="inlineStr">
        <is>
          <t>Vertical Rod 1</t>
        </is>
      </c>
      <c r="E177" s="60" t="n">
        <v>2</v>
      </c>
      <c r="F177" s="14" t="n">
        <v>2</v>
      </c>
      <c r="G177" s="60" t="n"/>
      <c r="H177" s="22">
        <f>F177*E177</f>
        <v/>
      </c>
      <c r="I177" s="60" t="n">
        <v>0</v>
      </c>
      <c r="J177" s="22">
        <f>MAX(0,H177-I177)</f>
        <v/>
      </c>
      <c r="L177" s="60">
        <f>"BUILDABLE: "&amp;$K$173&amp;" | TOTAL REQ: "&amp;H177&amp;" | RECEIVED: "&amp;I177&amp;" | STILL REQUIRED: "&amp;MAX(0,H177-I177)</f>
        <v/>
      </c>
    </row>
    <row r="178" ht="14.25" customHeight="1" s="70">
      <c r="A178" t="n">
        <v>35</v>
      </c>
      <c r="B178" t="n">
        <v>1073</v>
      </c>
      <c r="C178" s="42" t="n">
        <v>6</v>
      </c>
      <c r="D178" s="26" t="inlineStr">
        <is>
          <t>Clamping plate</t>
        </is>
      </c>
      <c r="E178" s="60" t="n">
        <v>1</v>
      </c>
      <c r="F178" s="14" t="n">
        <v>2</v>
      </c>
      <c r="G178" s="60" t="n"/>
      <c r="H178" s="22">
        <f>F178*E178</f>
        <v/>
      </c>
      <c r="I178" s="60" t="n">
        <v>0</v>
      </c>
      <c r="J178" s="22">
        <f>MAX(0,H178-I178)</f>
        <v/>
      </c>
      <c r="L178" s="60">
        <f>"BUILDABLE: "&amp;$K$173&amp;" | TOTAL REQ: "&amp;H178&amp;" | RECEIVED: "&amp;I178&amp;" | STILL REQUIRED: "&amp;MAX(0,H178-I178)</f>
        <v/>
      </c>
    </row>
    <row r="179" ht="14.25" customHeight="1" s="70">
      <c r="A179" t="n">
        <v>35</v>
      </c>
      <c r="B179" t="n">
        <v>1073</v>
      </c>
      <c r="C179" s="42" t="n">
        <v>11</v>
      </c>
      <c r="D179" s="26" t="inlineStr">
        <is>
          <t>Clamping Plate</t>
        </is>
      </c>
      <c r="E179" s="60" t="n">
        <v>1</v>
      </c>
      <c r="F179" s="14" t="n">
        <v>2</v>
      </c>
      <c r="G179" s="60" t="n"/>
      <c r="H179" s="22">
        <f>F179*E179</f>
        <v/>
      </c>
      <c r="I179" s="60" t="n">
        <v>0</v>
      </c>
      <c r="J179" s="22">
        <f>MAX(0,H179-I179)</f>
        <v/>
      </c>
      <c r="L179" s="60">
        <f>"BUILDABLE: "&amp;$K$173&amp;" | TOTAL REQ: "&amp;H179&amp;" | RECEIVED: "&amp;I179&amp;" | STILL REQUIRED: "&amp;MAX(0,H179-I179)</f>
        <v/>
      </c>
    </row>
    <row r="180" ht="14.25" customHeight="1" s="70">
      <c r="A180" t="n">
        <v>35</v>
      </c>
      <c r="B180" t="n">
        <v>1073</v>
      </c>
      <c r="C180" s="42" t="n">
        <v>12</v>
      </c>
      <c r="D180" s="26" t="inlineStr">
        <is>
          <t>Clampping Plate-2</t>
        </is>
      </c>
      <c r="E180" s="60" t="n">
        <v>1</v>
      </c>
      <c r="F180" s="14" t="n">
        <v>2</v>
      </c>
      <c r="G180" s="60" t="n"/>
      <c r="H180" s="22">
        <f>F180*E180</f>
        <v/>
      </c>
      <c r="I180" s="60" t="n">
        <v>0</v>
      </c>
      <c r="J180" s="22">
        <f>MAX(0,H180-I180)</f>
        <v/>
      </c>
      <c r="L180" s="60">
        <f>"BUILDABLE: "&amp;$K$173&amp;" | TOTAL REQ: "&amp;H180&amp;" | RECEIVED: "&amp;I180&amp;" | STILL REQUIRED: "&amp;MAX(0,H180-I180)</f>
        <v/>
      </c>
    </row>
    <row r="181" ht="14.25" customHeight="1" s="70">
      <c r="A181" t="n">
        <v>35</v>
      </c>
      <c r="B181" t="n">
        <v>1073</v>
      </c>
      <c r="C181" s="42" t="n">
        <v>13</v>
      </c>
      <c r="D181" s="26" t="inlineStr">
        <is>
          <t>Plug</t>
        </is>
      </c>
      <c r="E181" s="60" t="n">
        <v>1</v>
      </c>
      <c r="F181" s="14" t="n">
        <v>2</v>
      </c>
      <c r="G181" s="60" t="n"/>
      <c r="H181" s="22">
        <f>F181*E181</f>
        <v/>
      </c>
      <c r="I181" s="60" t="n">
        <v>0</v>
      </c>
      <c r="J181" s="22">
        <f>MAX(0,H181-I181)</f>
        <v/>
      </c>
      <c r="L181" s="60">
        <f>"BUILDABLE: "&amp;$K$173&amp;" | TOTAL REQ: "&amp;H181&amp;" | RECEIVED: "&amp;I181&amp;" | STILL REQUIRED: "&amp;MAX(0,H181-I181)</f>
        <v/>
      </c>
    </row>
    <row r="182" ht="14.25" customHeight="1" s="70">
      <c r="A182" t="n">
        <v>35</v>
      </c>
      <c r="B182" t="n">
        <v>1073</v>
      </c>
      <c r="C182" s="42" t="n">
        <v>18</v>
      </c>
      <c r="D182" s="26" t="inlineStr">
        <is>
          <t>Bush-1</t>
        </is>
      </c>
      <c r="E182" s="60" t="n">
        <v>2</v>
      </c>
      <c r="F182" s="14" t="n">
        <v>2</v>
      </c>
      <c r="G182" s="60" t="n"/>
      <c r="H182" s="22">
        <f>F182*E182</f>
        <v/>
      </c>
      <c r="I182" s="60" t="n">
        <v>0</v>
      </c>
      <c r="J182" s="22">
        <f>MAX(0,H182-I182)</f>
        <v/>
      </c>
      <c r="L182" s="60">
        <f>"BUILDABLE: "&amp;$K$173&amp;" | TOTAL REQ: "&amp;H182&amp;" | RECEIVED: "&amp;I182&amp;" | STILL REQUIRED: "&amp;MAX(0,H182-I182)</f>
        <v/>
      </c>
    </row>
    <row r="183" ht="14.25" customHeight="1" s="70">
      <c r="A183" s="39" t="n">
        <v>36</v>
      </c>
      <c r="B183" s="40" t="n">
        <v>1075</v>
      </c>
      <c r="C183" s="42" t="n">
        <v>1</v>
      </c>
      <c r="D183" s="26" t="inlineStr">
        <is>
          <t>Holding Block</t>
        </is>
      </c>
      <c r="E183" s="60" t="n">
        <v>1</v>
      </c>
      <c r="F183" s="14" t="n">
        <v>2</v>
      </c>
      <c r="G183" s="60" t="n"/>
      <c r="H183" s="22">
        <f>F183*E183</f>
        <v/>
      </c>
      <c r="I183" s="60" t="n">
        <v>0</v>
      </c>
      <c r="J183" s="22">
        <f>MAX(0,H183-I183)</f>
        <v/>
      </c>
      <c r="K183" s="22">
        <f>MIN(_xlfn.IFERROR(QUOTIENT(I183,E183),0),_xlfn.IFERROR(QUOTIENT(I184,E184),0))</f>
        <v/>
      </c>
      <c r="L183" s="60">
        <f>"BUILDABLE: "&amp;$K$183&amp;" | TOTAL REQ: "&amp;H183&amp;" | RECEIVED: "&amp;I183&amp;" | STILL REQUIRED: "&amp;MAX(0,H183-I183)</f>
        <v/>
      </c>
    </row>
    <row r="184" ht="14.25" customHeight="1" s="70">
      <c r="A184" t="n">
        <v>36</v>
      </c>
      <c r="B184" t="n">
        <v>1075</v>
      </c>
      <c r="C184" s="42" t="n">
        <v>2</v>
      </c>
      <c r="D184" s="26" t="inlineStr">
        <is>
          <t>Locking Ring</t>
        </is>
      </c>
      <c r="E184" s="60" t="n">
        <v>1</v>
      </c>
      <c r="F184" s="14" t="n">
        <v>2</v>
      </c>
      <c r="G184" s="60" t="n"/>
      <c r="H184" s="22">
        <f>F184*E184</f>
        <v/>
      </c>
      <c r="I184" s="60" t="n">
        <v>1</v>
      </c>
      <c r="J184" s="22">
        <f>MAX(0,H184-I184)</f>
        <v/>
      </c>
      <c r="L184" s="60">
        <f>"BUILDABLE: "&amp;$K$183&amp;" | TOTAL REQ: "&amp;H184&amp;" | RECEIVED: "&amp;I184&amp;" | STILL REQUIRED: "&amp;MAX(0,H184-I184)</f>
        <v/>
      </c>
    </row>
    <row r="185" ht="14.25" customHeight="1" s="70">
      <c r="A185" s="39" t="n">
        <v>37</v>
      </c>
      <c r="B185" s="40" t="n">
        <v>1077</v>
      </c>
      <c r="C185" s="42" t="n">
        <v>1</v>
      </c>
      <c r="D185" s="26" t="inlineStr">
        <is>
          <t>Bottom Plate</t>
        </is>
      </c>
      <c r="E185" s="60" t="n">
        <v>1</v>
      </c>
      <c r="F185" s="14" t="n">
        <v>2</v>
      </c>
      <c r="G185" s="60" t="n"/>
      <c r="H185" s="22">
        <f>F185*E185</f>
        <v/>
      </c>
      <c r="I185" s="60" t="n">
        <v>0</v>
      </c>
      <c r="J185" s="22">
        <f>MAX(0,H185-I185)</f>
        <v/>
      </c>
      <c r="K185" s="22">
        <f>MIN(_xlfn.IFERROR(QUOTIENT(I185,E185),0),_xlfn.IFERROR(QUOTIENT(I186,E186),0),_xlfn.IFERROR(QUOTIENT(I187,E187),0),_xlfn.IFERROR(QUOTIENT(I188,E188),0),_xlfn.IFERROR(QUOTIENT(I189,E189),0),_xlfn.IFERROR(QUOTIENT(I190,E190),0))</f>
        <v/>
      </c>
      <c r="L185" s="60">
        <f>"BUILDABLE: "&amp;$K$185&amp;" | TOTAL REQ: "&amp;H185&amp;" | RECEIVED: "&amp;I185&amp;" | STILL REQUIRED: "&amp;MAX(0,H185-I185)</f>
        <v/>
      </c>
    </row>
    <row r="186" ht="14.25" customHeight="1" s="70">
      <c r="A186" t="n">
        <v>37</v>
      </c>
      <c r="B186" t="n">
        <v>1077</v>
      </c>
      <c r="C186" s="42" t="n">
        <v>2</v>
      </c>
      <c r="D186" s="26" t="inlineStr">
        <is>
          <t>Holding Plate</t>
        </is>
      </c>
      <c r="E186" s="60" t="n">
        <v>1</v>
      </c>
      <c r="F186" s="14" t="n">
        <v>2</v>
      </c>
      <c r="G186" s="60" t="n"/>
      <c r="H186" s="22">
        <f>F186*E186</f>
        <v/>
      </c>
      <c r="I186" s="60" t="n">
        <v>0</v>
      </c>
      <c r="J186" s="22">
        <f>MAX(0,H186-I186)</f>
        <v/>
      </c>
      <c r="L186" s="60">
        <f>"BUILDABLE: "&amp;$K$185&amp;" | TOTAL REQ: "&amp;H186&amp;" | RECEIVED: "&amp;I186&amp;" | STILL REQUIRED: "&amp;MAX(0,H186-I186)</f>
        <v/>
      </c>
    </row>
    <row r="187" ht="14.25" customHeight="1" s="70">
      <c r="A187" t="n">
        <v>37</v>
      </c>
      <c r="B187" t="n">
        <v>1077</v>
      </c>
      <c r="C187" s="42" t="n">
        <v>3</v>
      </c>
      <c r="D187" s="26" t="inlineStr">
        <is>
          <t>Top Cover Plate</t>
        </is>
      </c>
      <c r="E187" s="60" t="n">
        <v>1</v>
      </c>
      <c r="F187" s="14" t="n">
        <v>2</v>
      </c>
      <c r="G187" s="60" t="n"/>
      <c r="H187" s="22">
        <f>F187*E187</f>
        <v/>
      </c>
      <c r="I187" s="60" t="n">
        <v>0</v>
      </c>
      <c r="J187" s="22">
        <f>MAX(0,H187-I187)</f>
        <v/>
      </c>
      <c r="L187" s="60">
        <f>"BUILDABLE: "&amp;$K$185&amp;" | TOTAL REQ: "&amp;H187&amp;" | RECEIVED: "&amp;I187&amp;" | STILL REQUIRED: "&amp;MAX(0,H187-I187)</f>
        <v/>
      </c>
    </row>
    <row r="188" ht="14.25" customHeight="1" s="70">
      <c r="A188" t="n">
        <v>37</v>
      </c>
      <c r="B188" t="n">
        <v>1077</v>
      </c>
      <c r="C188" s="42" t="n">
        <v>4</v>
      </c>
      <c r="D188" s="26" t="inlineStr">
        <is>
          <t>Center supporting column</t>
        </is>
      </c>
      <c r="E188" s="60" t="n">
        <v>1</v>
      </c>
      <c r="F188" s="14" t="n">
        <v>2</v>
      </c>
      <c r="G188" s="60" t="n"/>
      <c r="H188" s="22">
        <f>F188*E188</f>
        <v/>
      </c>
      <c r="I188" s="60" t="n">
        <v>2</v>
      </c>
      <c r="J188" s="22">
        <f>MAX(0,H188-I188)</f>
        <v/>
      </c>
      <c r="L188" s="60">
        <f>"BUILDABLE: "&amp;$K$185&amp;" | TOTAL REQ: "&amp;H188&amp;" | RECEIVED: "&amp;I188&amp;" | STILL REQUIRED: "&amp;MAX(0,H188-I188)</f>
        <v/>
      </c>
    </row>
    <row r="189" ht="14.25" customHeight="1" s="70">
      <c r="A189" t="n">
        <v>37</v>
      </c>
      <c r="B189" t="n">
        <v>1077</v>
      </c>
      <c r="C189" s="42" t="n">
        <v>5</v>
      </c>
      <c r="D189" s="26" t="inlineStr">
        <is>
          <t>End Supporting Column</t>
        </is>
      </c>
      <c r="E189" s="60" t="n">
        <v>3</v>
      </c>
      <c r="F189" s="14" t="n">
        <v>2</v>
      </c>
      <c r="G189" s="60" t="n"/>
      <c r="H189" s="22">
        <f>F189*E189</f>
        <v/>
      </c>
      <c r="I189" s="60" t="n">
        <v>0</v>
      </c>
      <c r="J189" s="22">
        <f>MAX(0,H189-I189)</f>
        <v/>
      </c>
      <c r="L189" s="60">
        <f>"BUILDABLE: "&amp;$K$185&amp;" | TOTAL REQ: "&amp;H189&amp;" | RECEIVED: "&amp;I189&amp;" | STILL REQUIRED: "&amp;MAX(0,H189-I189)</f>
        <v/>
      </c>
    </row>
    <row r="190" ht="14.25" customHeight="1" s="70">
      <c r="A190" t="n">
        <v>37</v>
      </c>
      <c r="B190" t="n">
        <v>1077</v>
      </c>
      <c r="C190" s="42" t="n">
        <v>6</v>
      </c>
      <c r="D190" s="26" t="inlineStr">
        <is>
          <t>Bush 1</t>
        </is>
      </c>
      <c r="E190" s="60" t="n">
        <v>16</v>
      </c>
      <c r="F190" s="14" t="n">
        <v>2</v>
      </c>
      <c r="G190" s="60" t="n"/>
      <c r="H190" s="22">
        <f>F190*E190</f>
        <v/>
      </c>
      <c r="I190" s="60" t="n">
        <v>0</v>
      </c>
      <c r="J190" s="22">
        <f>MAX(0,H190-I190)</f>
        <v/>
      </c>
      <c r="L190" s="60">
        <f>"BUILDABLE: "&amp;$K$185&amp;" | TOTAL REQ: "&amp;H190&amp;" | RECEIVED: "&amp;I190&amp;" | STILL REQUIRED: "&amp;MAX(0,H190-I190)</f>
        <v/>
      </c>
    </row>
    <row r="191" ht="14.25" customHeight="1" s="70">
      <c r="A191" s="39" t="n">
        <v>38</v>
      </c>
      <c r="B191" s="40" t="n">
        <v>1078</v>
      </c>
      <c r="C191" s="42" t="n">
        <v>1</v>
      </c>
      <c r="D191" s="26" t="inlineStr">
        <is>
          <t>Top Plate</t>
        </is>
      </c>
      <c r="E191" s="60" t="n">
        <v>1</v>
      </c>
      <c r="F191" s="14" t="n">
        <v>2</v>
      </c>
      <c r="G191" s="60" t="n"/>
      <c r="H191" s="22">
        <f>F191*E191</f>
        <v/>
      </c>
      <c r="I191" s="60" t="n">
        <v>0</v>
      </c>
      <c r="J191" s="22">
        <f>MAX(0,H191-I191)</f>
        <v/>
      </c>
      <c r="K191" s="22">
        <f>MIN(_xlfn.IFERROR(QUOTIENT(I191,E191),0),_xlfn.IFERROR(QUOTIENT(I192,E192),0),_xlfn.IFERROR(QUOTIENT(I193,E193),0),_xlfn.IFERROR(QUOTIENT(I194,E194),0))</f>
        <v/>
      </c>
      <c r="L191" s="60">
        <f>"BUILDABLE: "&amp;$K$191&amp;" | TOTAL REQ: "&amp;H191&amp;" | RECEIVED: "&amp;I191&amp;" | STILL REQUIRED: "&amp;MAX(0,H191-I191)</f>
        <v/>
      </c>
    </row>
    <row r="192" ht="14.25" customHeight="1" s="70">
      <c r="A192" t="n">
        <v>38</v>
      </c>
      <c r="B192" t="n">
        <v>1078</v>
      </c>
      <c r="C192" s="42" t="n">
        <v>2</v>
      </c>
      <c r="D192" s="26" t="inlineStr">
        <is>
          <t>Bottom Plate</t>
        </is>
      </c>
      <c r="E192" s="60" t="n">
        <v>1</v>
      </c>
      <c r="F192" s="14" t="n">
        <v>2</v>
      </c>
      <c r="G192" s="60" t="n"/>
      <c r="H192" s="22">
        <f>F192*E192</f>
        <v/>
      </c>
      <c r="I192" s="60" t="n">
        <v>0</v>
      </c>
      <c r="J192" s="22">
        <f>MAX(0,H192-I192)</f>
        <v/>
      </c>
      <c r="L192" s="60">
        <f>"BUILDABLE: "&amp;$K$191&amp;" | TOTAL REQ: "&amp;H192&amp;" | RECEIVED: "&amp;I192&amp;" | STILL REQUIRED: "&amp;MAX(0,H192-I192)</f>
        <v/>
      </c>
    </row>
    <row r="193" ht="14.25" customHeight="1" s="70">
      <c r="A193" t="n">
        <v>38</v>
      </c>
      <c r="B193" t="n">
        <v>1078</v>
      </c>
      <c r="C193" s="42" t="n">
        <v>3</v>
      </c>
      <c r="D193" s="26" t="inlineStr">
        <is>
          <t>Shaft</t>
        </is>
      </c>
      <c r="E193" s="60" t="n">
        <v>4</v>
      </c>
      <c r="F193" s="14" t="n">
        <v>2</v>
      </c>
      <c r="G193" s="60" t="n"/>
      <c r="H193" s="22">
        <f>F193*E193</f>
        <v/>
      </c>
      <c r="I193" s="60" t="n">
        <v>0</v>
      </c>
      <c r="J193" s="22">
        <f>MAX(0,H193-I193)</f>
        <v/>
      </c>
      <c r="L193" s="60">
        <f>"BUILDABLE: "&amp;$K$191&amp;" | TOTAL REQ: "&amp;H193&amp;" | RECEIVED: "&amp;I193&amp;" | STILL REQUIRED: "&amp;MAX(0,H193-I193)</f>
        <v/>
      </c>
    </row>
    <row r="194" ht="14.25" customHeight="1" s="70">
      <c r="A194" t="n">
        <v>38</v>
      </c>
      <c r="B194" t="n">
        <v>1078</v>
      </c>
      <c r="C194" s="42" t="n">
        <v>5</v>
      </c>
      <c r="D194" s="26" t="inlineStr">
        <is>
          <t>Clamp</t>
        </is>
      </c>
      <c r="E194" s="60" t="n">
        <v>4</v>
      </c>
      <c r="F194" s="14" t="n">
        <v>2</v>
      </c>
      <c r="G194" s="60" t="n"/>
      <c r="H194" s="22">
        <f>F194*E194</f>
        <v/>
      </c>
      <c r="I194" s="60" t="n">
        <v>0</v>
      </c>
      <c r="J194" s="22">
        <f>MAX(0,H194-I194)</f>
        <v/>
      </c>
      <c r="L194" s="60">
        <f>"BUILDABLE: "&amp;$K$191&amp;" | TOTAL REQ: "&amp;H194&amp;" | RECEIVED: "&amp;I194&amp;" | STILL REQUIRED: "&amp;MAX(0,H194-I194)</f>
        <v/>
      </c>
    </row>
    <row r="195" ht="14.25" customHeight="1" s="70">
      <c r="A195" s="39" t="n">
        <v>39</v>
      </c>
      <c r="B195" s="40" t="n">
        <v>1081</v>
      </c>
      <c r="C195" s="42" t="inlineStr">
        <is>
          <t>1A</t>
        </is>
      </c>
      <c r="D195" s="26" t="inlineStr">
        <is>
          <t>Dummy Cover</t>
        </is>
      </c>
      <c r="E195" s="60" t="n">
        <v>1</v>
      </c>
      <c r="F195" s="14" t="n">
        <v>2</v>
      </c>
      <c r="G195" s="60" t="n"/>
      <c r="H195" s="22">
        <f>F195*E195</f>
        <v/>
      </c>
      <c r="I195" s="60" t="n">
        <v>1</v>
      </c>
      <c r="J195" s="22">
        <f>MAX(0,H195-I195)</f>
        <v/>
      </c>
      <c r="K195" s="22">
        <f>MIN(_xlfn.IFERROR(QUOTIENT(I195,E195),0),_xlfn.IFERROR(QUOTIENT(I196,E196),0))</f>
        <v/>
      </c>
      <c r="L195" s="60">
        <f>"BUILDABLE: "&amp;$K$195&amp;" | TOTAL REQ: "&amp;H195&amp;" | RECEIVED: "&amp;I195&amp;" | STILL REQUIRED: "&amp;MAX(0,H195-I195)</f>
        <v/>
      </c>
    </row>
    <row r="196" ht="14.25" customHeight="1" s="70">
      <c r="A196" t="n">
        <v>39</v>
      </c>
      <c r="B196" t="n">
        <v>1081</v>
      </c>
      <c r="C196" s="42" t="inlineStr">
        <is>
          <t>1B</t>
        </is>
      </c>
      <c r="D196" s="26" t="inlineStr">
        <is>
          <t xml:space="preserve">Cylinder </t>
        </is>
      </c>
      <c r="E196" s="60" t="n">
        <v>1</v>
      </c>
      <c r="F196" s="14" t="n">
        <v>2</v>
      </c>
      <c r="G196" s="60" t="n"/>
      <c r="H196" s="22">
        <f>F196*E196</f>
        <v/>
      </c>
      <c r="I196" s="60" t="n">
        <v>1</v>
      </c>
      <c r="J196" s="22">
        <f>MAX(0,H196-I196)</f>
        <v/>
      </c>
      <c r="L196" s="60">
        <f>"BUILDABLE: "&amp;$K$195&amp;" | TOTAL REQ: "&amp;H196&amp;" | RECEIVED: "&amp;I196&amp;" | STILL REQUIRED: "&amp;MAX(0,H196-I196)</f>
        <v/>
      </c>
    </row>
    <row r="197" ht="14.25" customHeight="1" s="70">
      <c r="A197" s="39" t="n">
        <v>40</v>
      </c>
      <c r="B197" s="40" t="n">
        <v>1082</v>
      </c>
      <c r="C197" s="42" t="n">
        <v>1</v>
      </c>
      <c r="D197" s="26" t="inlineStr">
        <is>
          <t>Template Rib</t>
        </is>
      </c>
      <c r="E197" s="60" t="n">
        <v>1</v>
      </c>
      <c r="F197" s="14" t="n">
        <v>2</v>
      </c>
      <c r="G197" s="60" t="n"/>
      <c r="H197" s="22">
        <f>F197*E197</f>
        <v/>
      </c>
      <c r="I197" s="60" t="n">
        <v>2</v>
      </c>
      <c r="J197" s="22">
        <f>MAX(0,H197-I197)</f>
        <v/>
      </c>
      <c r="K197" s="22">
        <f>MIN(_xlfn.IFERROR(QUOTIENT(I197,E197),0),_xlfn.IFERROR(QUOTIENT(I198,E198),0))</f>
        <v/>
      </c>
      <c r="L197" s="60">
        <f>"BUILDABLE: "&amp;$K$197&amp;" | TOTAL REQ: "&amp;H197&amp;" | RECEIVED: "&amp;I197&amp;" | STILL REQUIRED: "&amp;MAX(0,H197-I197)</f>
        <v/>
      </c>
    </row>
    <row r="198" ht="14.25" customHeight="1" s="70">
      <c r="A198" t="n">
        <v>40</v>
      </c>
      <c r="B198" t="n">
        <v>1082</v>
      </c>
      <c r="C198" s="42" t="n">
        <v>2</v>
      </c>
      <c r="D198" s="26" t="inlineStr">
        <is>
          <t>Cover Plate</t>
        </is>
      </c>
      <c r="E198" s="60" t="n">
        <v>1</v>
      </c>
      <c r="F198" s="14" t="n">
        <v>2</v>
      </c>
      <c r="G198" s="60" t="n"/>
      <c r="H198" s="22">
        <f>F198*E198</f>
        <v/>
      </c>
      <c r="I198" s="60" t="n">
        <v>0</v>
      </c>
      <c r="J198" s="22">
        <f>MAX(0,H198-I198)</f>
        <v/>
      </c>
      <c r="L198" s="60">
        <f>"BUILDABLE: "&amp;$K$197&amp;" | TOTAL REQ: "&amp;H198&amp;" | RECEIVED: "&amp;I198&amp;" | STILL REQUIRED: "&amp;MAX(0,H198-I198)</f>
        <v/>
      </c>
    </row>
    <row r="199" ht="14.25" customHeight="1" s="70">
      <c r="A199" s="39" t="n">
        <v>41</v>
      </c>
      <c r="B199" s="40" t="n">
        <v>1083</v>
      </c>
      <c r="C199" s="42" t="n">
        <v>1</v>
      </c>
      <c r="D199" s="26" t="inlineStr">
        <is>
          <t>Plug</t>
        </is>
      </c>
      <c r="E199" s="60" t="n">
        <v>1</v>
      </c>
      <c r="F199" s="14" t="n">
        <v>2</v>
      </c>
      <c r="G199" s="60" t="n"/>
      <c r="H199" s="22">
        <f>F199*E199</f>
        <v/>
      </c>
      <c r="I199" s="60" t="n">
        <v>1</v>
      </c>
      <c r="J199" s="22">
        <f>MAX(0,H199-I199)</f>
        <v/>
      </c>
      <c r="K199" s="22">
        <f>MIN(_xlfn.IFERROR(QUOTIENT(I199,E199),0),_xlfn.IFERROR(QUOTIENT(I200,E200),0),_xlfn.IFERROR(QUOTIENT(I201,E201),0),_xlfn.IFERROR(QUOTIENT(I202,E202),0),_xlfn.IFERROR(QUOTIENT(I203,E203),0),_xlfn.IFERROR(QUOTIENT(I204,E204),0),_xlfn.IFERROR(QUOTIENT(I205,E205),0))</f>
        <v/>
      </c>
      <c r="L199" s="60">
        <f>"BUILDABLE: "&amp;$K$199&amp;" | TOTAL REQ: "&amp;H199&amp;" | RECEIVED: "&amp;I199&amp;" | STILL REQUIRED: "&amp;MAX(0,H199-I199)</f>
        <v/>
      </c>
    </row>
    <row r="200" ht="14.25" customHeight="1" s="70">
      <c r="A200" t="n">
        <v>41</v>
      </c>
      <c r="B200" t="n">
        <v>1083</v>
      </c>
      <c r="C200" s="42" t="n">
        <v>2</v>
      </c>
      <c r="D200" s="26" t="inlineStr">
        <is>
          <t>Sleeve</t>
        </is>
      </c>
      <c r="E200" s="60" t="n">
        <v>1</v>
      </c>
      <c r="F200" s="14" t="n">
        <v>2</v>
      </c>
      <c r="G200" s="60" t="n"/>
      <c r="H200" s="22">
        <f>F200*E200</f>
        <v/>
      </c>
      <c r="I200" s="60" t="n">
        <v>2</v>
      </c>
      <c r="J200" s="22">
        <f>MAX(0,H200-I200)</f>
        <v/>
      </c>
      <c r="L200" s="60">
        <f>"BUILDABLE: "&amp;$K$199&amp;" | TOTAL REQ: "&amp;H200&amp;" | RECEIVED: "&amp;I200&amp;" | STILL REQUIRED: "&amp;MAX(0,H200-I200)</f>
        <v/>
      </c>
    </row>
    <row r="201" ht="14.25" customHeight="1" s="70">
      <c r="A201" t="n">
        <v>41</v>
      </c>
      <c r="B201" t="n">
        <v>1083</v>
      </c>
      <c r="C201" s="42" t="n">
        <v>3</v>
      </c>
      <c r="D201" s="26" t="inlineStr">
        <is>
          <t>Bottom Plate</t>
        </is>
      </c>
      <c r="E201" s="60" t="n">
        <v>1</v>
      </c>
      <c r="F201" s="14" t="n">
        <v>2</v>
      </c>
      <c r="G201" s="60" t="n"/>
      <c r="H201" s="22">
        <f>F201*E201</f>
        <v/>
      </c>
      <c r="I201" s="60" t="n">
        <v>0</v>
      </c>
      <c r="J201" s="22">
        <f>MAX(0,H201-I201)</f>
        <v/>
      </c>
      <c r="L201" s="60">
        <f>"BUILDABLE: "&amp;$K$199&amp;" | TOTAL REQ: "&amp;H201&amp;" | RECEIVED: "&amp;I201&amp;" | STILL REQUIRED: "&amp;MAX(0,H201-I201)</f>
        <v/>
      </c>
    </row>
    <row r="202" ht="14.25" customHeight="1" s="70">
      <c r="A202" t="n">
        <v>41</v>
      </c>
      <c r="B202" t="n">
        <v>1083</v>
      </c>
      <c r="C202" s="42" t="n">
        <v>4</v>
      </c>
      <c r="D202" s="26" t="inlineStr">
        <is>
          <t>Top Bracket</t>
        </is>
      </c>
      <c r="E202" s="60" t="n">
        <v>1</v>
      </c>
      <c r="F202" s="14" t="n">
        <v>2</v>
      </c>
      <c r="G202" s="60" t="n"/>
      <c r="H202" s="22">
        <f>F202*E202</f>
        <v/>
      </c>
      <c r="I202" s="60" t="n">
        <v>1</v>
      </c>
      <c r="J202" s="22">
        <f>MAX(0,H202-I202)</f>
        <v/>
      </c>
      <c r="L202" s="60">
        <f>"BUILDABLE: "&amp;$K$199&amp;" | TOTAL REQ: "&amp;H202&amp;" | RECEIVED: "&amp;I202&amp;" | STILL REQUIRED: "&amp;MAX(0,H202-I202)</f>
        <v/>
      </c>
    </row>
    <row r="203" ht="14.25" customHeight="1" s="70">
      <c r="A203" t="n">
        <v>41</v>
      </c>
      <c r="B203" t="n">
        <v>1083</v>
      </c>
      <c r="C203" s="42" t="n">
        <v>5</v>
      </c>
      <c r="D203" s="26" t="inlineStr">
        <is>
          <t>PLug 2</t>
        </is>
      </c>
      <c r="E203" s="60" t="n">
        <v>1</v>
      </c>
      <c r="F203" s="14" t="n">
        <v>2</v>
      </c>
      <c r="G203" s="60" t="n"/>
      <c r="H203" s="22">
        <f>F203*E203</f>
        <v/>
      </c>
      <c r="I203" s="60" t="n">
        <v>2</v>
      </c>
      <c r="J203" s="22">
        <f>MAX(0,H203-I203)</f>
        <v/>
      </c>
      <c r="L203" s="60">
        <f>"BUILDABLE: "&amp;$K$199&amp;" | TOTAL REQ: "&amp;H203&amp;" | RECEIVED: "&amp;I203&amp;" | STILL REQUIRED: "&amp;MAX(0,H203-I203)</f>
        <v/>
      </c>
    </row>
    <row r="204" ht="14.25" customHeight="1" s="70">
      <c r="A204" t="n">
        <v>41</v>
      </c>
      <c r="B204" t="n">
        <v>1083</v>
      </c>
      <c r="C204" s="42" t="n">
        <v>6</v>
      </c>
      <c r="D204" s="26" t="inlineStr">
        <is>
          <t>Plug 3</t>
        </is>
      </c>
      <c r="E204" s="60" t="n">
        <v>1</v>
      </c>
      <c r="F204" s="14" t="n">
        <v>2</v>
      </c>
      <c r="G204" s="60" t="n"/>
      <c r="H204" s="22">
        <f>F204*E204</f>
        <v/>
      </c>
      <c r="I204" s="60" t="n">
        <v>1</v>
      </c>
      <c r="J204" s="22">
        <f>MAX(0,H204-I204)</f>
        <v/>
      </c>
      <c r="L204" s="60">
        <f>"BUILDABLE: "&amp;$K$199&amp;" | TOTAL REQ: "&amp;H204&amp;" | RECEIVED: "&amp;I204&amp;" | STILL REQUIRED: "&amp;MAX(0,H204-I204)</f>
        <v/>
      </c>
    </row>
    <row r="205" ht="14.25" customHeight="1" s="70">
      <c r="A205" t="n">
        <v>41</v>
      </c>
      <c r="B205" t="n">
        <v>1083</v>
      </c>
      <c r="C205" s="42" t="n">
        <v>7</v>
      </c>
      <c r="D205" s="26" t="inlineStr">
        <is>
          <t>Cover</t>
        </is>
      </c>
      <c r="E205" s="60" t="n">
        <v>1</v>
      </c>
      <c r="F205" s="14" t="n">
        <v>2</v>
      </c>
      <c r="G205" s="60" t="n"/>
      <c r="H205" s="22">
        <f>F205*E205</f>
        <v/>
      </c>
      <c r="I205" s="60" t="n">
        <v>2</v>
      </c>
      <c r="J205" s="22">
        <f>MAX(0,H205-I205)</f>
        <v/>
      </c>
      <c r="L205" s="60">
        <f>"BUILDABLE: "&amp;$K$199&amp;" | TOTAL REQ: "&amp;H205&amp;" | RECEIVED: "&amp;I205&amp;" | STILL REQUIRED: "&amp;MAX(0,H205-I205)</f>
        <v/>
      </c>
    </row>
    <row r="206" ht="14.25" customHeight="1" s="70">
      <c r="A206" s="39" t="n">
        <v>42</v>
      </c>
      <c r="B206" s="40" t="n">
        <v>1085</v>
      </c>
      <c r="C206" s="42" t="n">
        <v>1</v>
      </c>
      <c r="D206" s="26" t="inlineStr">
        <is>
          <t>Bottom Plate</t>
        </is>
      </c>
      <c r="E206" s="60" t="n">
        <v>1</v>
      </c>
      <c r="F206" s="14" t="n">
        <v>2</v>
      </c>
      <c r="G206" s="60" t="n"/>
      <c r="H206" s="22">
        <f>F206*E206</f>
        <v/>
      </c>
      <c r="I206" s="60" t="n">
        <v>1</v>
      </c>
      <c r="J206" s="22">
        <f>MAX(0,H206-I206)</f>
        <v/>
      </c>
      <c r="K206" s="22">
        <f>MIN(_xlfn.IFERROR(QUOTIENT(I206,E206),0),_xlfn.IFERROR(QUOTIENT(I207,E207),0),_xlfn.IFERROR(QUOTIENT(I208,E208),0),_xlfn.IFERROR(QUOTIENT(I209,E209),0))</f>
        <v/>
      </c>
      <c r="L206" s="60">
        <f>"BUILDABLE: "&amp;$K$206&amp;" | TOTAL REQ: "&amp;H206&amp;" | RECEIVED: "&amp;I206&amp;" | STILL REQUIRED: "&amp;MAX(0,H206-I206)</f>
        <v/>
      </c>
    </row>
    <row r="207" ht="14.25" customHeight="1" s="70">
      <c r="A207" t="n">
        <v>42</v>
      </c>
      <c r="B207" t="n">
        <v>1085</v>
      </c>
      <c r="C207" s="42" t="n">
        <v>2</v>
      </c>
      <c r="D207" s="26" t="inlineStr">
        <is>
          <t>Top plate</t>
        </is>
      </c>
      <c r="E207" s="60" t="n">
        <v>1</v>
      </c>
      <c r="F207" s="14" t="n">
        <v>2</v>
      </c>
      <c r="G207" s="60" t="n"/>
      <c r="H207" s="22">
        <f>F207*E207</f>
        <v/>
      </c>
      <c r="I207" s="60" t="n">
        <v>1</v>
      </c>
      <c r="J207" s="22">
        <f>MAX(0,H207-I207)</f>
        <v/>
      </c>
      <c r="L207" s="60">
        <f>"BUILDABLE: "&amp;$K$206&amp;" | TOTAL REQ: "&amp;H207&amp;" | RECEIVED: "&amp;I207&amp;" | STILL REQUIRED: "&amp;MAX(0,H207-I207)</f>
        <v/>
      </c>
    </row>
    <row r="208" ht="14.25" customHeight="1" s="70">
      <c r="A208" t="n">
        <v>42</v>
      </c>
      <c r="B208" t="n">
        <v>1085</v>
      </c>
      <c r="C208" s="42" t="n">
        <v>3</v>
      </c>
      <c r="D208" s="26" t="inlineStr">
        <is>
          <t>Supporting Column</t>
        </is>
      </c>
      <c r="E208" s="60" t="n">
        <v>1</v>
      </c>
      <c r="F208" s="14" t="n">
        <v>2</v>
      </c>
      <c r="G208" s="60" t="n"/>
      <c r="H208" s="22">
        <f>F208*E208</f>
        <v/>
      </c>
      <c r="I208" s="60" t="n">
        <v>3</v>
      </c>
      <c r="J208" s="22">
        <f>MAX(0,H208-I208)</f>
        <v/>
      </c>
      <c r="L208" s="60">
        <f>"BUILDABLE: "&amp;$K$206&amp;" | TOTAL REQ: "&amp;H208&amp;" | RECEIVED: "&amp;I208&amp;" | STILL REQUIRED: "&amp;MAX(0,H208-I208)</f>
        <v/>
      </c>
    </row>
    <row r="209" ht="14.25" customHeight="1" s="70">
      <c r="A209" t="n">
        <v>42</v>
      </c>
      <c r="B209" t="n">
        <v>1085</v>
      </c>
      <c r="C209" s="42" t="n">
        <v>4</v>
      </c>
      <c r="D209" s="26" t="inlineStr">
        <is>
          <t>Cover Plate</t>
        </is>
      </c>
      <c r="E209" s="60" t="n">
        <v>1</v>
      </c>
      <c r="F209" s="14" t="n">
        <v>2</v>
      </c>
      <c r="G209" s="60" t="n"/>
      <c r="H209" s="22">
        <f>F209*E209</f>
        <v/>
      </c>
      <c r="I209" s="60" t="n">
        <v>1</v>
      </c>
      <c r="J209" s="22">
        <f>MAX(0,H209-I209)</f>
        <v/>
      </c>
      <c r="L209" s="60">
        <f>"BUILDABLE: "&amp;$K$206&amp;" | TOTAL REQ: "&amp;H209&amp;" | RECEIVED: "&amp;I209&amp;" | STILL REQUIRED: "&amp;MAX(0,H209-I209)</f>
        <v/>
      </c>
    </row>
    <row r="210" ht="14.25" customHeight="1" s="70">
      <c r="A210" s="39" t="n">
        <v>43</v>
      </c>
      <c r="B210" s="40" t="n">
        <v>1086</v>
      </c>
      <c r="C210" s="42" t="n">
        <v>1</v>
      </c>
      <c r="D210" s="26" t="inlineStr">
        <is>
          <t xml:space="preserve">Bottom plate </t>
        </is>
      </c>
      <c r="E210" s="60" t="n">
        <v>1</v>
      </c>
      <c r="F210" s="14" t="n">
        <v>2</v>
      </c>
      <c r="G210" s="60" t="n"/>
      <c r="H210" s="22">
        <f>F210*E210</f>
        <v/>
      </c>
      <c r="I210" s="60" t="n">
        <v>3</v>
      </c>
      <c r="J210" s="22">
        <f>MAX(0,H210-I210)</f>
        <v/>
      </c>
      <c r="K210" s="22">
        <f>MIN(_xlfn.IFERROR(QUOTIENT(I210,E210),0),_xlfn.IFERROR(QUOTIENT(I211,E211),0))</f>
        <v/>
      </c>
      <c r="L210" s="60">
        <f>"BUILDABLE: "&amp;$K$210&amp;" | TOTAL REQ: "&amp;H210&amp;" | RECEIVED: "&amp;I210&amp;" | STILL REQUIRED: "&amp;MAX(0,H210-I210)</f>
        <v/>
      </c>
    </row>
    <row r="211" ht="14.25" customHeight="1" s="70">
      <c r="A211" t="n">
        <v>43</v>
      </c>
      <c r="B211" t="n">
        <v>1086</v>
      </c>
      <c r="C211" s="42" t="n">
        <v>2</v>
      </c>
      <c r="D211" s="26" t="inlineStr">
        <is>
          <t>Top Plate</t>
        </is>
      </c>
      <c r="E211" s="60" t="n">
        <v>1</v>
      </c>
      <c r="F211" s="14" t="n">
        <v>2</v>
      </c>
      <c r="G211" s="60" t="n"/>
      <c r="H211" s="22">
        <f>F211*E211</f>
        <v/>
      </c>
      <c r="I211" s="60" t="n">
        <v>0</v>
      </c>
      <c r="J211" s="22">
        <f>MAX(0,H211-I211)</f>
        <v/>
      </c>
      <c r="L211" s="60">
        <f>"BUILDABLE: "&amp;$K$210&amp;" | TOTAL REQ: "&amp;H211&amp;" | RECEIVED: "&amp;I211&amp;" | STILL REQUIRED: "&amp;MAX(0,H211-I211)</f>
        <v/>
      </c>
    </row>
    <row r="212" ht="14.25" customHeight="1" s="70">
      <c r="A212" s="39" t="n">
        <v>44</v>
      </c>
      <c r="B212" s="40" t="n">
        <v>1088</v>
      </c>
      <c r="C212" s="42" t="n">
        <v>1</v>
      </c>
      <c r="D212" s="26" t="inlineStr">
        <is>
          <t>Base plate</t>
        </is>
      </c>
      <c r="E212" s="60" t="n">
        <v>1</v>
      </c>
      <c r="F212" s="14" t="n">
        <v>2</v>
      </c>
      <c r="G212" s="60" t="n"/>
      <c r="H212" s="22">
        <f>F212*E212</f>
        <v/>
      </c>
      <c r="I212" s="60" t="n">
        <v>0</v>
      </c>
      <c r="J212" s="22">
        <f>MAX(0,H212-I212)</f>
        <v/>
      </c>
      <c r="K212" s="22">
        <f>MIN(_xlfn.IFERROR(QUOTIENT(I212,E212),0),_xlfn.IFERROR(QUOTIENT(I213,E213),0),_xlfn.IFERROR(QUOTIENT(I214,E214),0),_xlfn.IFERROR(QUOTIENT(I215,E215),0))</f>
        <v/>
      </c>
      <c r="L212" s="60">
        <f>"BUILDABLE: "&amp;$K$212&amp;" | TOTAL REQ: "&amp;H212&amp;" | RECEIVED: "&amp;I212&amp;" | STILL REQUIRED: "&amp;MAX(0,H212-I212)</f>
        <v/>
      </c>
    </row>
    <row r="213" ht="14.25" customHeight="1" s="70">
      <c r="A213" t="n">
        <v>44</v>
      </c>
      <c r="B213" t="n">
        <v>1088</v>
      </c>
      <c r="C213" s="42" t="n">
        <v>2</v>
      </c>
      <c r="D213" s="26" t="inlineStr">
        <is>
          <t>Center Column</t>
        </is>
      </c>
      <c r="E213" s="60" t="n">
        <v>1</v>
      </c>
      <c r="F213" s="14" t="n">
        <v>2</v>
      </c>
      <c r="G213" s="60" t="n"/>
      <c r="H213" s="22">
        <f>F213*E213</f>
        <v/>
      </c>
      <c r="I213" s="60" t="n">
        <v>0</v>
      </c>
      <c r="J213" s="22">
        <f>MAX(0,H213-I213)</f>
        <v/>
      </c>
      <c r="L213" s="60">
        <f>"BUILDABLE: "&amp;$K$212&amp;" | TOTAL REQ: "&amp;H213&amp;" | RECEIVED: "&amp;I213&amp;" | STILL REQUIRED: "&amp;MAX(0,H213-I213)</f>
        <v/>
      </c>
    </row>
    <row r="214" ht="14.25" customHeight="1" s="70">
      <c r="A214" t="n">
        <v>44</v>
      </c>
      <c r="B214" t="n">
        <v>1088</v>
      </c>
      <c r="C214" s="42" t="n">
        <v>3</v>
      </c>
      <c r="D214" s="26" t="inlineStr">
        <is>
          <t>Guide Plate</t>
        </is>
      </c>
      <c r="E214" s="60" t="n">
        <v>1</v>
      </c>
      <c r="F214" s="14" t="n">
        <v>2</v>
      </c>
      <c r="G214" s="60" t="n"/>
      <c r="H214" s="22">
        <f>F214*E214</f>
        <v/>
      </c>
      <c r="I214" s="60" t="n">
        <v>0</v>
      </c>
      <c r="J214" s="22">
        <f>MAX(0,H214-I214)</f>
        <v/>
      </c>
      <c r="L214" s="60">
        <f>"BUILDABLE: "&amp;$K$212&amp;" | TOTAL REQ: "&amp;H214&amp;" | RECEIVED: "&amp;I214&amp;" | STILL REQUIRED: "&amp;MAX(0,H214-I214)</f>
        <v/>
      </c>
    </row>
    <row r="215" ht="14.25" customHeight="1" s="70">
      <c r="A215" t="n">
        <v>44</v>
      </c>
      <c r="B215" t="n">
        <v>1088</v>
      </c>
      <c r="C215" s="42" t="n">
        <v>4</v>
      </c>
      <c r="D215" s="26" t="inlineStr">
        <is>
          <t>Top Cover Plate</t>
        </is>
      </c>
      <c r="E215" s="60" t="n">
        <v>1</v>
      </c>
      <c r="F215" s="14" t="n">
        <v>2</v>
      </c>
      <c r="G215" s="60" t="n"/>
      <c r="H215" s="22">
        <f>F215*E215</f>
        <v/>
      </c>
      <c r="I215" s="60" t="n">
        <v>0</v>
      </c>
      <c r="J215" s="22">
        <f>MAX(0,H215-I215)</f>
        <v/>
      </c>
      <c r="L215" s="60">
        <f>"BUILDABLE: "&amp;$K$212&amp;" | TOTAL REQ: "&amp;H215&amp;" | RECEIVED: "&amp;I215&amp;" | STILL REQUIRED: "&amp;MAX(0,H215-I215)</f>
        <v/>
      </c>
    </row>
    <row r="216" ht="14.25" customHeight="1" s="70">
      <c r="A216" s="39" t="n">
        <v>45</v>
      </c>
      <c r="B216" s="40" t="n">
        <v>1089</v>
      </c>
      <c r="C216" s="42" t="n">
        <v>1</v>
      </c>
      <c r="D216" s="26" t="inlineStr">
        <is>
          <t>Base Plate</t>
        </is>
      </c>
      <c r="E216" s="60" t="n">
        <v>1</v>
      </c>
      <c r="F216" s="14" t="n">
        <v>2</v>
      </c>
      <c r="G216" s="60" t="n"/>
      <c r="H216" s="22">
        <f>F216*E216</f>
        <v/>
      </c>
      <c r="I216" s="60" t="n">
        <v>1</v>
      </c>
      <c r="J216" s="22">
        <f>MAX(0,H216-I216)</f>
        <v/>
      </c>
      <c r="K216" s="22">
        <f>MIN(_xlfn.IFERROR(QUOTIENT(I216,E216),0),_xlfn.IFERROR(QUOTIENT(I217,E217),0),_xlfn.IFERROR(QUOTIENT(I218,E218),0),_xlfn.IFERROR(QUOTIENT(I219,E219),0),_xlfn.IFERROR(QUOTIENT(I220,E220),0),_xlfn.IFERROR(QUOTIENT(I221,E221),0),_xlfn.IFERROR(QUOTIENT(I222,E222),0))</f>
        <v/>
      </c>
      <c r="L216" s="60">
        <f>"BUILDABLE: "&amp;$K$216&amp;" | TOTAL REQ: "&amp;H216&amp;" | RECEIVED: "&amp;I216&amp;" | STILL REQUIRED: "&amp;MAX(0,H216-I216)</f>
        <v/>
      </c>
    </row>
    <row r="217" ht="14.25" customHeight="1" s="70">
      <c r="A217" t="n">
        <v>45</v>
      </c>
      <c r="B217" t="n">
        <v>1089</v>
      </c>
      <c r="C217" s="42" t="n">
        <v>2</v>
      </c>
      <c r="D217" s="26" t="inlineStr">
        <is>
          <t>Holding Plate</t>
        </is>
      </c>
      <c r="E217" s="60" t="n">
        <v>1</v>
      </c>
      <c r="F217" s="14" t="n">
        <v>2</v>
      </c>
      <c r="G217" s="60" t="n"/>
      <c r="H217" s="22">
        <f>F217*E217</f>
        <v/>
      </c>
      <c r="I217" s="60" t="n">
        <v>1</v>
      </c>
      <c r="J217" s="22">
        <f>MAX(0,H217-I217)</f>
        <v/>
      </c>
      <c r="L217" s="60">
        <f>"BUILDABLE: "&amp;$K$216&amp;" | TOTAL REQ: "&amp;H217&amp;" | RECEIVED: "&amp;I217&amp;" | STILL REQUIRED: "&amp;MAX(0,H217-I217)</f>
        <v/>
      </c>
    </row>
    <row r="218" ht="14.25" customHeight="1" s="70">
      <c r="A218" t="n">
        <v>45</v>
      </c>
      <c r="B218" t="n">
        <v>1089</v>
      </c>
      <c r="C218" s="42" t="n">
        <v>3</v>
      </c>
      <c r="D218" s="26" t="inlineStr">
        <is>
          <t>Center supporting column</t>
        </is>
      </c>
      <c r="E218" s="60" t="n">
        <v>1</v>
      </c>
      <c r="F218" s="14" t="n">
        <v>2</v>
      </c>
      <c r="G218" s="60" t="n"/>
      <c r="H218" s="22">
        <f>F218*E218</f>
        <v/>
      </c>
      <c r="I218" s="60" t="n">
        <v>1</v>
      </c>
      <c r="J218" s="22">
        <f>MAX(0,H218-I218)</f>
        <v/>
      </c>
      <c r="L218" s="60">
        <f>"BUILDABLE: "&amp;$K$216&amp;" | TOTAL REQ: "&amp;H218&amp;" | RECEIVED: "&amp;I218&amp;" | STILL REQUIRED: "&amp;MAX(0,H218-I218)</f>
        <v/>
      </c>
    </row>
    <row r="219" ht="14.25" customHeight="1" s="70">
      <c r="A219" t="n">
        <v>45</v>
      </c>
      <c r="B219" t="n">
        <v>1089</v>
      </c>
      <c r="C219" s="42" t="n">
        <v>4</v>
      </c>
      <c r="D219" s="26" t="inlineStr">
        <is>
          <t>Outer Supporting Column</t>
        </is>
      </c>
      <c r="E219" s="60" t="n">
        <v>4</v>
      </c>
      <c r="F219" s="14" t="n">
        <v>2</v>
      </c>
      <c r="G219" s="60" t="n"/>
      <c r="H219" s="22">
        <f>F219*E219</f>
        <v/>
      </c>
      <c r="I219" s="60" t="n">
        <v>1</v>
      </c>
      <c r="J219" s="22">
        <f>MAX(0,H219-I219)</f>
        <v/>
      </c>
      <c r="L219" s="60">
        <f>"BUILDABLE: "&amp;$K$216&amp;" | TOTAL REQ: "&amp;H219&amp;" | RECEIVED: "&amp;I219&amp;" | STILL REQUIRED: "&amp;MAX(0,H219-I219)</f>
        <v/>
      </c>
    </row>
    <row r="220" ht="14.25" customHeight="1" s="70">
      <c r="A220" t="n">
        <v>45</v>
      </c>
      <c r="B220" t="n">
        <v>1089</v>
      </c>
      <c r="C220" s="42" t="n">
        <v>5</v>
      </c>
      <c r="D220" s="26" t="inlineStr">
        <is>
          <t>Locking Plate</t>
        </is>
      </c>
      <c r="E220" s="60" t="n">
        <v>1</v>
      </c>
      <c r="F220" s="14" t="n">
        <v>2</v>
      </c>
      <c r="G220" s="60" t="n"/>
      <c r="H220" s="22">
        <f>F220*E220</f>
        <v/>
      </c>
      <c r="I220" s="60" t="n">
        <v>1</v>
      </c>
      <c r="J220" s="22">
        <f>MAX(0,H220-I220)</f>
        <v/>
      </c>
      <c r="L220" s="60">
        <f>"BUILDABLE: "&amp;$K$216&amp;" | TOTAL REQ: "&amp;H220&amp;" | RECEIVED: "&amp;I220&amp;" | STILL REQUIRED: "&amp;MAX(0,H220-I220)</f>
        <v/>
      </c>
    </row>
    <row r="221" ht="14.25" customHeight="1" s="70">
      <c r="A221" t="n">
        <v>45</v>
      </c>
      <c r="B221" t="n">
        <v>1089</v>
      </c>
      <c r="C221" s="42" t="n">
        <v>6</v>
      </c>
      <c r="D221" s="26" t="inlineStr">
        <is>
          <t>Top Cover</t>
        </is>
      </c>
      <c r="E221" s="60" t="n">
        <v>1</v>
      </c>
      <c r="F221" s="14" t="n">
        <v>2</v>
      </c>
      <c r="G221" s="60" t="n"/>
      <c r="H221" s="22">
        <f>F221*E221</f>
        <v/>
      </c>
      <c r="I221" s="60" t="n">
        <v>4</v>
      </c>
      <c r="J221" s="22">
        <f>MAX(0,H221-I221)</f>
        <v/>
      </c>
      <c r="L221" s="60">
        <f>"BUILDABLE: "&amp;$K$216&amp;" | TOTAL REQ: "&amp;H221&amp;" | RECEIVED: "&amp;I221&amp;" | STILL REQUIRED: "&amp;MAX(0,H221-I221)</f>
        <v/>
      </c>
    </row>
    <row r="222" ht="14.25" customHeight="1" s="70">
      <c r="A222" t="n">
        <v>45</v>
      </c>
      <c r="B222" t="n">
        <v>1089</v>
      </c>
      <c r="C222" s="42" t="n">
        <v>12</v>
      </c>
      <c r="D222" s="26" t="inlineStr">
        <is>
          <t>Copper Plate</t>
        </is>
      </c>
      <c r="E222" s="60" t="n">
        <v>1</v>
      </c>
      <c r="F222" s="14" t="n">
        <v>2</v>
      </c>
      <c r="G222" s="60" t="n"/>
      <c r="H222" s="22">
        <f>F222*E222</f>
        <v/>
      </c>
      <c r="I222" s="60" t="n">
        <v>1</v>
      </c>
      <c r="J222" s="22">
        <f>MAX(0,H222-I222)</f>
        <v/>
      </c>
      <c r="L222" s="60">
        <f>"BUILDABLE: "&amp;$K$216&amp;" | TOTAL REQ: "&amp;H222&amp;" | RECEIVED: "&amp;I222&amp;" | STILL REQUIRED: "&amp;MAX(0,H222-I222)</f>
        <v/>
      </c>
    </row>
    <row r="223" ht="14.25" customHeight="1" s="70">
      <c r="A223" s="39" t="n">
        <v>46</v>
      </c>
      <c r="B223" s="40" t="n">
        <v>1092</v>
      </c>
      <c r="C223" s="42" t="n">
        <v>1</v>
      </c>
      <c r="D223" s="26" t="inlineStr">
        <is>
          <t>Inner Hub Cylinder Clamp</t>
        </is>
      </c>
      <c r="E223" s="60" t="n">
        <v>1</v>
      </c>
      <c r="F223" s="14" t="n">
        <v>2</v>
      </c>
      <c r="G223" s="60" t="n"/>
      <c r="H223" s="22">
        <f>F223*E223</f>
        <v/>
      </c>
      <c r="I223" s="60" t="n">
        <v>0</v>
      </c>
      <c r="J223" s="22">
        <f>MAX(0,H223-I223)</f>
        <v/>
      </c>
      <c r="K223" s="22">
        <f>MIN(_xlfn.IFERROR(QUOTIENT(I223,E223),0),_xlfn.IFERROR(QUOTIENT(I224,E224),0))</f>
        <v/>
      </c>
      <c r="L223" s="60">
        <f>"BUILDABLE: "&amp;$K$223&amp;" | TOTAL REQ: "&amp;H223&amp;" | RECEIVED: "&amp;I223&amp;" | STILL REQUIRED: "&amp;MAX(0,H223-I223)</f>
        <v/>
      </c>
    </row>
    <row r="224" ht="14.25" customHeight="1" s="70">
      <c r="A224" t="n">
        <v>46</v>
      </c>
      <c r="B224" t="n">
        <v>1092</v>
      </c>
      <c r="C224" s="42" t="n">
        <v>2</v>
      </c>
      <c r="D224" s="26" t="inlineStr">
        <is>
          <t>Outer Hub Cylinder Clamp</t>
        </is>
      </c>
      <c r="E224" s="60" t="n">
        <v>1</v>
      </c>
      <c r="F224" s="14" t="n">
        <v>2</v>
      </c>
      <c r="G224" s="60" t="n"/>
      <c r="H224" s="22">
        <f>F224*E224</f>
        <v/>
      </c>
      <c r="I224" s="60" t="n">
        <v>0</v>
      </c>
      <c r="J224" s="22">
        <f>MAX(0,H224-I224)</f>
        <v/>
      </c>
      <c r="L224" s="60">
        <f>"BUILDABLE: "&amp;$K$223&amp;" | TOTAL REQ: "&amp;H224&amp;" | RECEIVED: "&amp;I224&amp;" | STILL REQUIRED: "&amp;MAX(0,H224-I224)</f>
        <v/>
      </c>
    </row>
    <row r="225" ht="14.25" customHeight="1" s="70">
      <c r="A225" s="39" t="n">
        <v>47</v>
      </c>
      <c r="B225" s="40" t="n">
        <v>995</v>
      </c>
      <c r="C225" s="42" t="n">
        <v>3</v>
      </c>
      <c r="D225" s="26" t="inlineStr">
        <is>
          <t>Center plate</t>
        </is>
      </c>
      <c r="E225" s="60" t="n"/>
      <c r="F225" s="14" t="n">
        <v>2</v>
      </c>
      <c r="G225" s="60" t="n"/>
      <c r="H225" s="22">
        <f>F225*E225</f>
        <v/>
      </c>
      <c r="I225" s="60" t="n">
        <v>0</v>
      </c>
      <c r="J225" s="22">
        <f>MAX(0,H225-I225)</f>
        <v/>
      </c>
      <c r="K225" s="22">
        <f>MIN(_xlfn.IFERROR(QUOTIENT(I225,E225),0),_xlfn.IFERROR(QUOTIENT(I226,E226),0))</f>
        <v/>
      </c>
      <c r="L225" s="60">
        <f>"BUILDABLE: "&amp;$K$225&amp;" | TOTAL REQ: "&amp;H225&amp;" | RECEIVED: "&amp;I225&amp;" | STILL REQUIRED: "&amp;MAX(0,H225-I225)</f>
        <v/>
      </c>
    </row>
    <row r="226" ht="14.25" customHeight="1" s="70">
      <c r="A226" t="n">
        <v>47</v>
      </c>
      <c r="B226" t="n">
        <v>995</v>
      </c>
      <c r="C226" s="42" t="n">
        <v>6</v>
      </c>
      <c r="D226" s="26" t="inlineStr">
        <is>
          <t>Locating Pin</t>
        </is>
      </c>
      <c r="E226" s="60" t="n"/>
      <c r="F226" s="14" t="n">
        <v>2</v>
      </c>
      <c r="G226" s="60" t="n"/>
      <c r="H226" s="22">
        <f>F226*E226</f>
        <v/>
      </c>
      <c r="I226" s="60" t="n">
        <v>0</v>
      </c>
      <c r="J226" s="22">
        <f>MAX(0,H226-I226)</f>
        <v/>
      </c>
      <c r="L226" s="60">
        <f>"BUILDABLE: "&amp;$K$225&amp;" | TOTAL REQ: "&amp;H226&amp;" | RECEIVED: "&amp;I226&amp;" | STILL REQUIRED: "&amp;MAX(0,H226-I226)</f>
        <v/>
      </c>
    </row>
    <row r="227" ht="14.25" customHeight="1" s="70">
      <c r="A227" s="39" t="n">
        <v>48</v>
      </c>
      <c r="B227" s="40" t="n">
        <v>1126</v>
      </c>
      <c r="C227" s="42" t="n">
        <v>1</v>
      </c>
      <c r="D227" s="26" t="inlineStr">
        <is>
          <t>Bottom Plate</t>
        </is>
      </c>
      <c r="E227" s="60" t="n"/>
      <c r="F227" s="14" t="n">
        <v>2</v>
      </c>
      <c r="G227" s="60" t="n"/>
      <c r="H227" s="22">
        <f>F227*E227</f>
        <v/>
      </c>
      <c r="I227" s="60" t="n">
        <v>0</v>
      </c>
      <c r="J227" s="22">
        <f>MAX(0,H227-I227)</f>
        <v/>
      </c>
      <c r="K227" s="22">
        <f>MIN(_xlfn.IFERROR(QUOTIENT(I227,E227),0),_xlfn.IFERROR(QUOTIENT(I228,E228),0),_xlfn.IFERROR(QUOTIENT(I229,E229),0),_xlfn.IFERROR(QUOTIENT(I230,E230),0))</f>
        <v/>
      </c>
      <c r="L227" s="60">
        <f>"BUILDABLE: "&amp;$K$227&amp;" | TOTAL REQ: "&amp;H227&amp;" | RECEIVED: "&amp;I227&amp;" | STILL REQUIRED: "&amp;MAX(0,H227-I227)</f>
        <v/>
      </c>
    </row>
    <row r="228" ht="14.25" customHeight="1" s="70">
      <c r="A228" t="n">
        <v>48</v>
      </c>
      <c r="B228" t="n">
        <v>1126</v>
      </c>
      <c r="C228" s="42" t="n">
        <v>2</v>
      </c>
      <c r="D228" s="26" t="inlineStr">
        <is>
          <t>Tie Rods</t>
        </is>
      </c>
      <c r="E228" s="60" t="n"/>
      <c r="F228" s="14" t="n">
        <v>2</v>
      </c>
      <c r="G228" s="60" t="n"/>
      <c r="H228" s="22">
        <f>F228*E228</f>
        <v/>
      </c>
      <c r="I228" s="60" t="n">
        <v>0</v>
      </c>
      <c r="J228" s="22">
        <f>MAX(0,H228-I228)</f>
        <v/>
      </c>
      <c r="L228" s="60">
        <f>"BUILDABLE: "&amp;$K$227&amp;" | TOTAL REQ: "&amp;H228&amp;" | RECEIVED: "&amp;I228&amp;" | STILL REQUIRED: "&amp;MAX(0,H228-I228)</f>
        <v/>
      </c>
    </row>
    <row r="229" ht="14.25" customHeight="1" s="70">
      <c r="A229" t="n">
        <v>48</v>
      </c>
      <c r="B229" t="n">
        <v>1126</v>
      </c>
      <c r="C229" s="42" t="n">
        <v>3</v>
      </c>
      <c r="D229" s="26" t="inlineStr">
        <is>
          <t>Top plate</t>
        </is>
      </c>
      <c r="E229" s="60" t="n"/>
      <c r="F229" s="14" t="n">
        <v>2</v>
      </c>
      <c r="G229" s="60" t="n"/>
      <c r="H229" s="22">
        <f>F229*E229</f>
        <v/>
      </c>
      <c r="I229" s="60" t="n">
        <v>0</v>
      </c>
      <c r="J229" s="22">
        <f>MAX(0,H229-I229)</f>
        <v/>
      </c>
      <c r="L229" s="60">
        <f>"BUILDABLE: "&amp;$K$227&amp;" | TOTAL REQ: "&amp;H229&amp;" | RECEIVED: "&amp;I229&amp;" | STILL REQUIRED: "&amp;MAX(0,H229-I229)</f>
        <v/>
      </c>
    </row>
    <row r="230" ht="14.25" customHeight="1" s="70">
      <c r="A230" t="n">
        <v>48</v>
      </c>
      <c r="B230" t="n">
        <v>1126</v>
      </c>
      <c r="C230" s="42" t="n">
        <v>4</v>
      </c>
      <c r="D230" s="26" t="inlineStr">
        <is>
          <t>Clamp</t>
        </is>
      </c>
      <c r="E230" s="60" t="n"/>
      <c r="F230" s="14" t="n">
        <v>2</v>
      </c>
      <c r="G230" s="60" t="n"/>
      <c r="H230" s="22">
        <f>F230*E230</f>
        <v/>
      </c>
      <c r="I230" s="60" t="n">
        <v>0</v>
      </c>
      <c r="J230" s="22">
        <f>MAX(0,H230-I230)</f>
        <v/>
      </c>
      <c r="L230" s="60">
        <f>"BUILDABLE: "&amp;$K$227&amp;" | TOTAL REQ: "&amp;H230&amp;" | RECEIVED: "&amp;I230&amp;" | STILL REQUIRED: "&amp;MAX(0,H230-I230)</f>
        <v/>
      </c>
    </row>
    <row r="231" ht="14.25" customHeight="1" s="70">
      <c r="A231" s="39" t="n">
        <v>49</v>
      </c>
      <c r="B231" s="40" t="n">
        <v>1097</v>
      </c>
      <c r="C231" s="42" t="n">
        <v>1</v>
      </c>
      <c r="D231" s="26" t="inlineStr">
        <is>
          <t>Bush</t>
        </is>
      </c>
      <c r="E231" s="60" t="n"/>
      <c r="F231" s="14" t="n">
        <v>2</v>
      </c>
      <c r="G231" s="60" t="n"/>
      <c r="H231" s="22">
        <f>F231*E231</f>
        <v/>
      </c>
      <c r="I231" s="60" t="n">
        <v>0</v>
      </c>
      <c r="J231" s="22">
        <f>MAX(0,H231-I231)</f>
        <v/>
      </c>
      <c r="K231" s="22">
        <f>MIN(_xlfn.IFERROR(QUOTIENT(I231,E231),0),_xlfn.IFERROR(QUOTIENT(I232,E232),0))</f>
        <v/>
      </c>
      <c r="L231" s="60">
        <f>"BUILDABLE: "&amp;$K$231&amp;" | TOTAL REQ: "&amp;H231&amp;" | RECEIVED: "&amp;I231&amp;" | STILL REQUIRED: "&amp;MAX(0,H231-I231)</f>
        <v/>
      </c>
    </row>
    <row r="232" ht="14.25" customHeight="1" s="70">
      <c r="A232" t="n">
        <v>49</v>
      </c>
      <c r="B232" t="n">
        <v>1097</v>
      </c>
      <c r="C232" s="42" t="n">
        <v>2</v>
      </c>
      <c r="D232" s="26" t="inlineStr">
        <is>
          <t>Pin</t>
        </is>
      </c>
      <c r="E232" s="60" t="n"/>
      <c r="F232" s="14" t="n">
        <v>2</v>
      </c>
      <c r="G232" s="60" t="n"/>
      <c r="H232" s="22">
        <f>F232*E232</f>
        <v/>
      </c>
      <c r="I232" s="60" t="n">
        <v>0</v>
      </c>
      <c r="J232" s="22">
        <f>MAX(0,H232-I232)</f>
        <v/>
      </c>
      <c r="L232" s="60">
        <f>"BUILDABLE: "&amp;$K$231&amp;" | TOTAL REQ: "&amp;H232&amp;" | RECEIVED: "&amp;I232&amp;" | STILL REQUIRED: "&amp;MAX(0,H232-I232)</f>
        <v/>
      </c>
    </row>
    <row r="233" ht="14.25" customHeight="1" s="70">
      <c r="A233" s="39" t="n">
        <v>50</v>
      </c>
      <c r="B233" s="40" t="n">
        <v>1131</v>
      </c>
      <c r="C233" s="42" t="n">
        <v>1</v>
      </c>
      <c r="D233" s="26" t="inlineStr">
        <is>
          <t>Bush</t>
        </is>
      </c>
      <c r="E233" s="60" t="n"/>
      <c r="F233" s="14" t="n">
        <v>2</v>
      </c>
      <c r="G233" s="60" t="n"/>
      <c r="H233" s="22">
        <f>F233*E233</f>
        <v/>
      </c>
      <c r="I233" s="60" t="n">
        <v>0</v>
      </c>
      <c r="J233" s="22">
        <f>MAX(0,H233-I233)</f>
        <v/>
      </c>
      <c r="K233" s="22">
        <f>MIN(_xlfn.IFERROR(QUOTIENT(I233,E233),0),_xlfn.IFERROR(QUOTIENT(I234,E234),0))</f>
        <v/>
      </c>
      <c r="L233" s="60">
        <f>"BUILDABLE: "&amp;$K$233&amp;" | TOTAL REQ: "&amp;H233&amp;" | RECEIVED: "&amp;I233&amp;" | STILL REQUIRED: "&amp;MAX(0,H233-I233)</f>
        <v/>
      </c>
    </row>
    <row r="234" ht="14.25" customHeight="1" s="70">
      <c r="A234" t="n">
        <v>50</v>
      </c>
      <c r="B234" t="n">
        <v>1131</v>
      </c>
      <c r="C234" s="42" t="n">
        <v>2</v>
      </c>
      <c r="D234" s="26" t="inlineStr">
        <is>
          <t>Pin</t>
        </is>
      </c>
      <c r="E234" s="60" t="n"/>
      <c r="F234" s="14" t="n">
        <v>2</v>
      </c>
      <c r="G234" s="60" t="n"/>
      <c r="H234" s="22">
        <f>F234*E234</f>
        <v/>
      </c>
      <c r="I234" s="60" t="n">
        <v>0</v>
      </c>
      <c r="J234" s="22">
        <f>MAX(0,H234-I234)</f>
        <v/>
      </c>
      <c r="L234" s="60">
        <f>"BUILDABLE: "&amp;$K$233&amp;" | TOTAL REQ: "&amp;H234&amp;" | RECEIVED: "&amp;I234&amp;" | STILL REQUIRED: "&amp;MAX(0,H234-I234)</f>
        <v/>
      </c>
    </row>
    <row r="235" ht="14.25" customHeight="1" s="70">
      <c r="A235" s="39" t="n">
        <v>51</v>
      </c>
      <c r="B235" s="40" t="n">
        <v>1129</v>
      </c>
      <c r="C235" s="42" t="n">
        <v>1</v>
      </c>
      <c r="D235" s="26" t="inlineStr">
        <is>
          <t>Base Plate</t>
        </is>
      </c>
      <c r="E235" s="60" t="n"/>
      <c r="F235" s="14" t="n">
        <v>2</v>
      </c>
      <c r="G235" s="60" t="n"/>
      <c r="H235" s="22">
        <f>F235*E235</f>
        <v/>
      </c>
      <c r="I235" s="60" t="n">
        <v>0</v>
      </c>
      <c r="J235" s="22">
        <f>MAX(0,H235-I235)</f>
        <v/>
      </c>
      <c r="K235" s="22">
        <f>MIN(_xlfn.IFERROR(QUOTIENT(I235,E235),0),_xlfn.IFERROR(QUOTIENT(I236,E236),0),_xlfn.IFERROR(QUOTIENT(I237,E237),0))</f>
        <v/>
      </c>
      <c r="L235" s="60">
        <f>"BUILDABLE: "&amp;$K$235&amp;" | TOTAL REQ: "&amp;H235&amp;" | RECEIVED: "&amp;I235&amp;" | STILL REQUIRED: "&amp;MAX(0,H235-I235)</f>
        <v/>
      </c>
    </row>
    <row r="236" ht="14.25" customHeight="1" s="70">
      <c r="A236" t="n">
        <v>51</v>
      </c>
      <c r="B236" t="n">
        <v>1129</v>
      </c>
      <c r="C236" s="42" t="n">
        <v>3</v>
      </c>
      <c r="D236" s="26" t="inlineStr">
        <is>
          <t>Sliding Block</t>
        </is>
      </c>
      <c r="E236" s="60" t="n"/>
      <c r="F236" s="14" t="n">
        <v>2</v>
      </c>
      <c r="G236" s="60" t="n"/>
      <c r="H236" s="22">
        <f>F236*E236</f>
        <v/>
      </c>
      <c r="I236" s="60" t="n">
        <v>0</v>
      </c>
      <c r="J236" s="22">
        <f>MAX(0,H236-I236)</f>
        <v/>
      </c>
      <c r="L236" s="60">
        <f>"BUILDABLE: "&amp;$K$235&amp;" | TOTAL REQ: "&amp;H236&amp;" | RECEIVED: "&amp;I236&amp;" | STILL REQUIRED: "&amp;MAX(0,H236-I236)</f>
        <v/>
      </c>
    </row>
    <row r="237" ht="14.25" customHeight="1" s="70">
      <c r="A237" t="n">
        <v>51</v>
      </c>
      <c r="B237" t="n">
        <v>1129</v>
      </c>
      <c r="C237" s="42" t="n">
        <v>4</v>
      </c>
      <c r="D237" s="26" t="inlineStr">
        <is>
          <t>Guide Block</t>
        </is>
      </c>
      <c r="E237" s="60" t="n"/>
      <c r="F237" s="14" t="n">
        <v>2</v>
      </c>
      <c r="G237" s="60" t="n"/>
      <c r="H237" s="22">
        <f>F237*E237</f>
        <v/>
      </c>
      <c r="I237" s="60" t="n">
        <v>0</v>
      </c>
      <c r="J237" s="22">
        <f>MAX(0,H237-I237)</f>
        <v/>
      </c>
      <c r="L237" s="60">
        <f>"BUILDABLE: "&amp;$K$235&amp;" | TOTAL REQ: "&amp;H237&amp;" | RECEIVED: "&amp;I237&amp;" | STILL REQUIRED: "&amp;MAX(0,H237-I237)</f>
        <v/>
      </c>
    </row>
    <row r="238">
      <c r="B238" t="n">
        <v>1129</v>
      </c>
    </row>
    <row r="239">
      <c r="B239" t="n">
        <v>1129</v>
      </c>
    </row>
  </sheetData>
  <autoFilter ref="A3:L239">
    <filterColumn colId="0" hiddenButton="0" showButton="1"/>
  </autoFilter>
  <mergeCells count="1">
    <mergeCell ref="A1:L2"/>
  </mergeCells>
  <conditionalFormatting sqref="J3:J237">
    <cfRule type="cellIs" priority="4" operator="greaterThan" dxfId="0">
      <formula>0</formula>
    </cfRule>
    <cfRule type="cellIs" priority="3" operator="equal" dxfId="1">
      <formula>0</formula>
    </cfRule>
  </conditionalFormatting>
  <conditionalFormatting sqref="K3:K237">
    <cfRule type="cellIs" priority="1" operator="equal" dxfId="2">
      <formula>0</formula>
    </cfRule>
    <cfRule type="cellIs" priority="2" operator="greaterThan" dxfId="0">
      <formula>0</formula>
    </cfRule>
  </conditionalFormatting>
  <pageMargins left="0.25" right="0.25" top="0.5" bottom="0.5" header="0.511811023622047" footer="0.511811023622047"/>
  <pageSetup orientation="landscape" paperSize="9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0" zoomScale="88" workbookViewId="0">
      <pane ySplit="3" topLeftCell="A4" activePane="bottomLeft" state="frozen"/>
      <selection pane="bottomLeft" activeCell="C3" sqref="C3:C44"/>
    </sheetView>
  </sheetViews>
  <sheetFormatPr baseColWidth="8" defaultColWidth="10" defaultRowHeight="14.25"/>
  <cols>
    <col width="13.199219" customWidth="1" style="1" min="1" max="1"/>
    <col width="10.730469" customWidth="1" style="1" min="2" max="2"/>
    <col width="16.199219" customWidth="1" style="1" min="3" max="3"/>
    <col width="28.863281" customWidth="1" style="1" min="4" max="4"/>
    <col width="15.53125" customWidth="1" style="1" min="5" max="6"/>
    <col width="14.6640625" customWidth="1" style="1" min="7" max="7"/>
    <col width="17.066406" customWidth="1" style="1" min="8" max="8"/>
    <col width="20.796875" customWidth="1" style="1" min="9" max="10"/>
    <col width="57.73047" customWidth="1" style="1" min="11" max="11"/>
  </cols>
  <sheetData>
    <row r="1">
      <c r="A1" s="43" t="inlineStr">
        <is>
          <t>CORVA UPDATED  FIXTURES LIST</t>
        </is>
      </c>
      <c r="B1" s="76" t="n"/>
      <c r="C1" s="76" t="n"/>
      <c r="D1" s="76" t="n"/>
      <c r="E1" s="76" t="n"/>
      <c r="F1" s="76" t="n"/>
      <c r="G1" s="76" t="n"/>
      <c r="H1" s="76" t="n"/>
      <c r="I1" s="76" t="n"/>
      <c r="J1" s="76" t="n"/>
      <c r="K1" s="77" t="n"/>
    </row>
    <row r="2">
      <c r="A2" s="78" t="n"/>
      <c r="B2" s="79" t="n"/>
      <c r="C2" s="79" t="n"/>
      <c r="D2" s="79" t="n"/>
      <c r="E2" s="79" t="n"/>
      <c r="F2" s="79" t="n"/>
      <c r="G2" s="79" t="n"/>
      <c r="H2" s="79" t="n"/>
      <c r="I2" s="79" t="n"/>
      <c r="J2" s="79" t="n"/>
      <c r="K2" s="80" t="n"/>
    </row>
    <row r="3">
      <c r="A3" s="49" t="inlineStr">
        <is>
          <t>S.NO</t>
        </is>
      </c>
      <c r="B3" s="50" t="inlineStr">
        <is>
          <t>FT NO</t>
        </is>
      </c>
      <c r="C3" s="51" t="inlineStr">
        <is>
          <t>ITEM NO</t>
        </is>
      </c>
      <c r="D3" s="52" t="inlineStr">
        <is>
          <t>DESCRIPTION</t>
        </is>
      </c>
      <c r="E3" s="53" t="inlineStr">
        <is>
          <t>BOM QTY</t>
        </is>
      </c>
      <c r="F3" s="14" t="inlineStr">
        <is>
          <t>NO OF SETS</t>
        </is>
      </c>
      <c r="G3" s="53" t="inlineStr">
        <is>
          <t>TOTAL QTY</t>
        </is>
      </c>
      <c r="H3" s="15" t="inlineStr">
        <is>
          <t>RECIVED</t>
        </is>
      </c>
      <c r="I3" s="53" t="inlineStr">
        <is>
          <t>BALANCE</t>
        </is>
      </c>
      <c r="J3" s="16" t="inlineStr">
        <is>
          <t>BUILDABLE FIXTURES</t>
        </is>
      </c>
      <c r="K3" s="53" t="inlineStr">
        <is>
          <t>STATUS</t>
        </is>
      </c>
    </row>
    <row r="4">
      <c r="A4" s="54" t="n">
        <v>1</v>
      </c>
      <c r="B4" s="40" t="n">
        <v>1043</v>
      </c>
      <c r="C4" s="55" t="n">
        <v>1</v>
      </c>
      <c r="D4" s="56" t="inlineStr">
        <is>
          <t>Plug</t>
        </is>
      </c>
      <c r="E4" s="57" t="n">
        <v>1</v>
      </c>
      <c r="F4" s="57" t="n">
        <v>2</v>
      </c>
      <c r="G4" s="57">
        <f>F4*E4</f>
        <v/>
      </c>
      <c r="H4" s="57" t="n">
        <v>2</v>
      </c>
      <c r="I4" s="57">
        <f>MAX(0,G4-H4)</f>
        <v/>
      </c>
      <c r="J4" s="22">
        <f>MIN(_xlfn.IFERROR(QUOTIENT(H4,E4),0),_xlfn.IFERROR(QUOTIENT(H5,E5),0),_xlfn.IFERROR(QUOTIENT(H6,E6),0))</f>
        <v/>
      </c>
      <c r="K4" s="53">
        <f>"BUILDABLE: "&amp;$J$4&amp;" | TOTAL REQ: "&amp;G4&amp;" | RECEIVED: "&amp;H4&amp;" | STILL REQUIRED: "&amp;MAX(0,G4-H4)</f>
        <v/>
      </c>
    </row>
    <row r="5">
      <c r="A5" t="n">
        <v>1</v>
      </c>
      <c r="B5" t="n">
        <v>1043</v>
      </c>
      <c r="C5" s="55" t="n">
        <v>2</v>
      </c>
      <c r="D5" s="56" t="inlineStr">
        <is>
          <t>Top Plate</t>
        </is>
      </c>
      <c r="E5" s="57" t="n">
        <v>1</v>
      </c>
      <c r="F5" s="57" t="n">
        <v>2</v>
      </c>
      <c r="G5" s="57">
        <f>F5*E5</f>
        <v/>
      </c>
      <c r="H5" s="57" t="n">
        <v>2</v>
      </c>
      <c r="I5" s="57">
        <f>MAX(0,G5-H5)</f>
        <v/>
      </c>
      <c r="J5">
        <f>MIN(_xlfn.IFERROR(QUOTIENT(H4,E4),0),_xlfn.IFERROR(QUOTIENT(H5,E5),0),_xlfn.IFERROR(QUOTIENT(H6,E6),0))</f>
        <v/>
      </c>
      <c r="K5" s="53">
        <f>"BUILDABLE: "&amp;$J$4&amp;" | TOTAL REQ: "&amp;G5&amp;" | RECEIVED: "&amp;H5&amp;" | STILL REQUIRED: "&amp;MAX(0,G5-H5)</f>
        <v/>
      </c>
    </row>
    <row r="6">
      <c r="A6" t="n">
        <v>1</v>
      </c>
      <c r="B6" t="n">
        <v>1043</v>
      </c>
      <c r="C6" s="55" t="n">
        <v>3</v>
      </c>
      <c r="D6" s="56" t="inlineStr">
        <is>
          <t>Clamp</t>
        </is>
      </c>
      <c r="E6" s="57" t="n">
        <v>2</v>
      </c>
      <c r="F6" s="57" t="n">
        <v>2</v>
      </c>
      <c r="G6" s="57">
        <f>F6*E6</f>
        <v/>
      </c>
      <c r="H6" s="57" t="n">
        <v>4</v>
      </c>
      <c r="I6" s="57">
        <f>MAX(0,G6-H6)</f>
        <v/>
      </c>
      <c r="J6">
        <f>MIN(_xlfn.IFERROR(QUOTIENT(H4,E4),0),_xlfn.IFERROR(QUOTIENT(H5,E5),0),_xlfn.IFERROR(QUOTIENT(H6,E6),0))</f>
        <v/>
      </c>
      <c r="K6" s="53">
        <f>"BUILDABLE: "&amp;$J$4&amp;" | TOTAL REQ: "&amp;G6&amp;" | RECEIVED: "&amp;H6&amp;" | STILL REQUIRED: "&amp;MAX(0,G6-H6)</f>
        <v/>
      </c>
    </row>
    <row r="7">
      <c r="A7" s="54" t="n">
        <v>2</v>
      </c>
      <c r="B7" s="40" t="n">
        <v>1044</v>
      </c>
      <c r="C7" s="55" t="n">
        <v>1</v>
      </c>
      <c r="D7" s="56" t="inlineStr">
        <is>
          <t>Bottom Plate</t>
        </is>
      </c>
      <c r="E7" s="57" t="n">
        <v>1</v>
      </c>
      <c r="F7" s="57" t="n">
        <v>2</v>
      </c>
      <c r="G7" s="57">
        <f>F7*E7</f>
        <v/>
      </c>
      <c r="H7" s="57" t="n">
        <v>2</v>
      </c>
      <c r="I7" s="57">
        <f>MAX(0,G7-H7)</f>
        <v/>
      </c>
      <c r="J7" s="22">
        <f>MIN(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)</f>
        <v/>
      </c>
      <c r="K7" s="53">
        <f>"BUILDABLE: "&amp;$J$7&amp;" | TOTAL REQ: "&amp;G7&amp;" | RECEIVED: "&amp;H7&amp;" | STILL REQUIRED: "&amp;MAX(0,G7-H7)</f>
        <v/>
      </c>
    </row>
    <row r="8">
      <c r="A8" t="n">
        <v>2</v>
      </c>
      <c r="B8" t="n">
        <v>1044</v>
      </c>
      <c r="C8" s="55" t="n">
        <v>2</v>
      </c>
      <c r="D8" s="56" t="inlineStr">
        <is>
          <t>Pin-1</t>
        </is>
      </c>
      <c r="E8" s="57" t="n">
        <v>1</v>
      </c>
      <c r="F8" s="57" t="n">
        <v>2</v>
      </c>
      <c r="G8" s="57">
        <f>F8*E8</f>
        <v/>
      </c>
      <c r="H8" s="57" t="n">
        <v>2</v>
      </c>
      <c r="I8" s="57">
        <f>MAX(0,G8-H8)</f>
        <v/>
      </c>
      <c r="J8">
        <f>MIN(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)</f>
        <v/>
      </c>
      <c r="K8" s="53">
        <f>"BUILDABLE: "&amp;$J$7&amp;" | TOTAL REQ: "&amp;G8&amp;" | RECEIVED: "&amp;H8&amp;" | STILL REQUIRED: "&amp;MAX(0,G8-H8)</f>
        <v/>
      </c>
    </row>
    <row r="9">
      <c r="A9" t="n">
        <v>2</v>
      </c>
      <c r="B9" t="n">
        <v>1044</v>
      </c>
      <c r="C9" s="55" t="n">
        <v>3</v>
      </c>
      <c r="D9" s="56" t="inlineStr">
        <is>
          <t>Shaft</t>
        </is>
      </c>
      <c r="E9" s="57" t="n">
        <v>1</v>
      </c>
      <c r="F9" s="57" t="n">
        <v>2</v>
      </c>
      <c r="G9" s="57">
        <f>F9*E9</f>
        <v/>
      </c>
      <c r="H9" s="57" t="n">
        <v>2</v>
      </c>
      <c r="I9" s="57">
        <f>MAX(0,G9-H9)</f>
        <v/>
      </c>
      <c r="J9">
        <f>MIN(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)</f>
        <v/>
      </c>
      <c r="K9" s="53">
        <f>"BUILDABLE: "&amp;$J$7&amp;" | TOTAL REQ: "&amp;G9&amp;" | RECEIVED: "&amp;H9&amp;" | STILL REQUIRED: "&amp;MAX(0,G9-H9)</f>
        <v/>
      </c>
    </row>
    <row r="10">
      <c r="A10" t="n">
        <v>2</v>
      </c>
      <c r="B10" t="n">
        <v>1044</v>
      </c>
      <c r="C10" s="55" t="n">
        <v>4</v>
      </c>
      <c r="D10" s="56" t="inlineStr">
        <is>
          <t>Plate -1</t>
        </is>
      </c>
      <c r="E10" s="57" t="n">
        <v>1</v>
      </c>
      <c r="F10" s="57" t="n">
        <v>2</v>
      </c>
      <c r="G10" s="57">
        <f>F10*E10</f>
        <v/>
      </c>
      <c r="H10" s="57" t="n">
        <v>2</v>
      </c>
      <c r="I10" s="57">
        <f>MAX(0,G10-H10)</f>
        <v/>
      </c>
      <c r="J10">
        <f>MIN(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)</f>
        <v/>
      </c>
      <c r="K10" s="53">
        <f>"BUILDABLE: "&amp;$J$7&amp;" | TOTAL REQ: "&amp;G10&amp;" | RECEIVED: "&amp;H10&amp;" | STILL REQUIRED: "&amp;MAX(0,G10-H10)</f>
        <v/>
      </c>
    </row>
    <row r="11">
      <c r="A11" t="n">
        <v>2</v>
      </c>
      <c r="B11" t="n">
        <v>1044</v>
      </c>
      <c r="C11" s="55" t="n">
        <v>5</v>
      </c>
      <c r="D11" s="56" t="inlineStr">
        <is>
          <t>Plate-2</t>
        </is>
      </c>
      <c r="E11" s="57" t="n">
        <v>1</v>
      </c>
      <c r="F11" s="57" t="n">
        <v>2</v>
      </c>
      <c r="G11" s="57">
        <f>F11*E11</f>
        <v/>
      </c>
      <c r="H11" s="57" t="n">
        <v>2</v>
      </c>
      <c r="I11" s="57">
        <f>MAX(0,G11-H11)</f>
        <v/>
      </c>
      <c r="J11">
        <f>MIN(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)</f>
        <v/>
      </c>
      <c r="K11" s="53">
        <f>"BUILDABLE: "&amp;$J$7&amp;" | TOTAL REQ: "&amp;G11&amp;" | RECEIVED: "&amp;H11&amp;" | STILL REQUIRED: "&amp;MAX(0,G11-H11)</f>
        <v/>
      </c>
    </row>
    <row r="12">
      <c r="A12" t="n">
        <v>2</v>
      </c>
      <c r="B12" t="n">
        <v>1044</v>
      </c>
      <c r="C12" s="55" t="n">
        <v>6</v>
      </c>
      <c r="D12" s="56" t="inlineStr">
        <is>
          <t>Clamp</t>
        </is>
      </c>
      <c r="E12" s="57" t="n">
        <v>1</v>
      </c>
      <c r="F12" s="57" t="n">
        <v>2</v>
      </c>
      <c r="G12" s="57">
        <f>F12*E12</f>
        <v/>
      </c>
      <c r="H12" s="57" t="n">
        <v>2</v>
      </c>
      <c r="I12" s="57">
        <f>MAX(0,G12-H12)</f>
        <v/>
      </c>
      <c r="J12">
        <f>MIN(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)</f>
        <v/>
      </c>
      <c r="K12" s="53">
        <f>"BUILDABLE: "&amp;$J$7&amp;" | TOTAL REQ: "&amp;G12&amp;" | RECEIVED: "&amp;H12&amp;" | STILL REQUIRED: "&amp;MAX(0,G12-H12)</f>
        <v/>
      </c>
    </row>
    <row r="13">
      <c r="A13" t="n">
        <v>2</v>
      </c>
      <c r="B13" t="n">
        <v>1044</v>
      </c>
      <c r="C13" s="55" t="n">
        <v>7</v>
      </c>
      <c r="D13" s="56" t="inlineStr">
        <is>
          <t>Top Plate-1</t>
        </is>
      </c>
      <c r="E13" s="57" t="n">
        <v>1</v>
      </c>
      <c r="F13" s="57" t="n">
        <v>2</v>
      </c>
      <c r="G13" s="57">
        <f>F13*E13</f>
        <v/>
      </c>
      <c r="H13" s="57" t="n">
        <v>2</v>
      </c>
      <c r="I13" s="57">
        <f>MAX(0,G13-H13)</f>
        <v/>
      </c>
      <c r="J13">
        <f>MIN(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)</f>
        <v/>
      </c>
      <c r="K13" s="53">
        <f>"BUILDABLE: "&amp;$J$7&amp;" | TOTAL REQ: "&amp;G13&amp;" | RECEIVED: "&amp;H13&amp;" | STILL REQUIRED: "&amp;MAX(0,G13-H13)</f>
        <v/>
      </c>
    </row>
    <row r="14">
      <c r="A14" t="n">
        <v>2</v>
      </c>
      <c r="B14" t="n">
        <v>1044</v>
      </c>
      <c r="C14" s="55" t="n">
        <v>8</v>
      </c>
      <c r="D14" s="56" t="inlineStr">
        <is>
          <t>Pin-2</t>
        </is>
      </c>
      <c r="E14" s="57" t="n">
        <v>1</v>
      </c>
      <c r="F14" s="57" t="n">
        <v>2</v>
      </c>
      <c r="G14" s="57">
        <f>F14*E14</f>
        <v/>
      </c>
      <c r="H14" s="57" t="n">
        <v>2</v>
      </c>
      <c r="I14" s="57">
        <f>MAX(0,G14-H14)</f>
        <v/>
      </c>
      <c r="J14">
        <f>MIN(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)</f>
        <v/>
      </c>
      <c r="K14" s="53">
        <f>"BUILDABLE: "&amp;$J$7&amp;" | TOTAL REQ: "&amp;G14&amp;" | RECEIVED: "&amp;H14&amp;" | STILL REQUIRED: "&amp;MAX(0,G14-H14)</f>
        <v/>
      </c>
    </row>
    <row r="15">
      <c r="A15" t="n">
        <v>2</v>
      </c>
      <c r="B15" t="n">
        <v>1044</v>
      </c>
      <c r="C15" s="55" t="n">
        <v>9</v>
      </c>
      <c r="D15" s="56" t="inlineStr">
        <is>
          <t>Pin-3</t>
        </is>
      </c>
      <c r="E15" s="57" t="n">
        <v>1</v>
      </c>
      <c r="F15" s="57" t="n">
        <v>2</v>
      </c>
      <c r="G15" s="57">
        <f>F15*E15</f>
        <v/>
      </c>
      <c r="H15" s="57" t="n">
        <v>2</v>
      </c>
      <c r="I15" s="57">
        <f>MAX(0,G15-H15)</f>
        <v/>
      </c>
      <c r="J15">
        <f>MIN(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)</f>
        <v/>
      </c>
      <c r="K15" s="53">
        <f>"BUILDABLE: "&amp;$J$7&amp;" | TOTAL REQ: "&amp;G15&amp;" | RECEIVED: "&amp;H15&amp;" | STILL REQUIRED: "&amp;MAX(0,G15-H15)</f>
        <v/>
      </c>
    </row>
    <row r="16">
      <c r="A16" s="54" t="n">
        <v>3</v>
      </c>
      <c r="B16" s="40" t="n">
        <v>1045</v>
      </c>
      <c r="C16" s="55" t="inlineStr">
        <is>
          <t>1A</t>
        </is>
      </c>
      <c r="D16" s="56" t="inlineStr">
        <is>
          <t>TOP PLATE 2</t>
        </is>
      </c>
      <c r="E16" s="57" t="n">
        <v>1</v>
      </c>
      <c r="F16" s="57" t="n">
        <v>2</v>
      </c>
      <c r="G16" s="57">
        <f>F16*E16</f>
        <v/>
      </c>
      <c r="H16" s="57" t="n">
        <v>2</v>
      </c>
      <c r="I16" s="57">
        <f>MAX(0,G16-H16)</f>
        <v/>
      </c>
      <c r="J16" s="60">
        <f>MIN(_xlfn.IFERROR(QUOTIENT(H16,E16),0),_xlfn.IFERROR(QUOTIENT(H17,E17),0))</f>
        <v/>
      </c>
      <c r="K16" s="53">
        <f>"BUILDABLE: "&amp;$J$16&amp;" | TOTAL REQ: "&amp;G16&amp;" | RECEIVED: "&amp;H16&amp;" | STILL REQUIRED: "&amp;MAX(0,G16-H16)</f>
        <v/>
      </c>
    </row>
    <row r="17">
      <c r="A17" t="n">
        <v>3</v>
      </c>
      <c r="B17" t="n">
        <v>1045</v>
      </c>
      <c r="C17" s="55" t="inlineStr">
        <is>
          <t>2A</t>
        </is>
      </c>
      <c r="D17" s="56" t="inlineStr">
        <is>
          <t>PIN 3</t>
        </is>
      </c>
      <c r="E17" s="57" t="n">
        <v>3</v>
      </c>
      <c r="F17" s="57" t="n">
        <v>2</v>
      </c>
      <c r="G17" s="57">
        <f>F17*E17</f>
        <v/>
      </c>
      <c r="H17" s="57" t="n">
        <v>6</v>
      </c>
      <c r="I17" s="57">
        <f>MAX(0,G17-H17)</f>
        <v/>
      </c>
      <c r="J17">
        <f>MIN(_xlfn.IFERROR(QUOTIENT(H16,E16),0),_xlfn.IFERROR(QUOTIENT(H17,E17),0))</f>
        <v/>
      </c>
      <c r="K17" s="53">
        <f>"BUILDABLE: "&amp;$J$16&amp;" | TOTAL REQ: "&amp;G17&amp;" | RECEIVED: "&amp;H17&amp;" | STILL REQUIRED: "&amp;MAX(0,G17-H17)</f>
        <v/>
      </c>
    </row>
    <row r="18">
      <c r="A18" s="54" t="n">
        <v>4</v>
      </c>
      <c r="B18" s="40" t="n">
        <v>1046</v>
      </c>
      <c r="C18" s="55" t="inlineStr">
        <is>
          <t>1B</t>
        </is>
      </c>
      <c r="D18" s="56" t="inlineStr">
        <is>
          <t>Top Plate 3</t>
        </is>
      </c>
      <c r="E18" s="57" t="n">
        <v>1</v>
      </c>
      <c r="F18" s="57" t="n">
        <v>2</v>
      </c>
      <c r="G18" s="57">
        <f>F18*E18</f>
        <v/>
      </c>
      <c r="H18" s="57" t="n">
        <v>2</v>
      </c>
      <c r="I18" s="57">
        <f>MAX(0,G18-H18)</f>
        <v/>
      </c>
      <c r="J18" s="22">
        <f>MIN(_xlfn.IFERROR(QUOTIENT(H18,E18),0),_xlfn.IFERROR(QUOTIENT(H19,E19),0),_xlfn.IFERROR(QUOTIENT(H20,E20),0))</f>
        <v/>
      </c>
      <c r="K18" s="53">
        <f>"BUILDABLE: "&amp;$J$18&amp;" | TOTAL REQ: "&amp;G18&amp;" | RECEIVED: "&amp;H18&amp;" | STILL REQUIRED: "&amp;MAX(0,G18-H18)</f>
        <v/>
      </c>
    </row>
    <row r="19">
      <c r="A19" t="n">
        <v>4</v>
      </c>
      <c r="B19" t="n">
        <v>1046</v>
      </c>
      <c r="C19" s="55" t="inlineStr">
        <is>
          <t>2B</t>
        </is>
      </c>
      <c r="D19" s="56" t="inlineStr">
        <is>
          <t>Block</t>
        </is>
      </c>
      <c r="E19" s="57" t="n">
        <v>1</v>
      </c>
      <c r="F19" s="57" t="n">
        <v>2</v>
      </c>
      <c r="G19" s="57">
        <f>F19*E19</f>
        <v/>
      </c>
      <c r="H19" s="57" t="n">
        <v>2</v>
      </c>
      <c r="I19" s="57">
        <f>MAX(0,G19-H19)</f>
        <v/>
      </c>
      <c r="J19">
        <f>MIN(_xlfn.IFERROR(QUOTIENT(H18,E18),0),_xlfn.IFERROR(QUOTIENT(H19,E19),0),_xlfn.IFERROR(QUOTIENT(H20,E20),0))</f>
        <v/>
      </c>
      <c r="K19" s="53">
        <f>"BUILDABLE: "&amp;$J$18&amp;" | TOTAL REQ: "&amp;G19&amp;" | RECEIVED: "&amp;H19&amp;" | STILL REQUIRED: "&amp;MAX(0,G19-H19)</f>
        <v/>
      </c>
    </row>
    <row r="20">
      <c r="A20" t="n">
        <v>4</v>
      </c>
      <c r="B20" t="n">
        <v>1046</v>
      </c>
      <c r="C20" s="55" t="inlineStr">
        <is>
          <t>3b</t>
        </is>
      </c>
      <c r="D20" s="56" t="inlineStr">
        <is>
          <t>Pin</t>
        </is>
      </c>
      <c r="E20" s="57" t="n">
        <v>1</v>
      </c>
      <c r="F20" s="57" t="n">
        <v>2</v>
      </c>
      <c r="G20" s="57">
        <f>F20*E20</f>
        <v/>
      </c>
      <c r="H20" s="57" t="n">
        <v>2</v>
      </c>
      <c r="I20" s="57">
        <f>MAX(0,G20-H20)</f>
        <v/>
      </c>
      <c r="J20">
        <f>MIN(_xlfn.IFERROR(QUOTIENT(H18,E18),0),_xlfn.IFERROR(QUOTIENT(H19,E19),0),_xlfn.IFERROR(QUOTIENT(H20,E20),0))</f>
        <v/>
      </c>
      <c r="K20" s="53">
        <f>"BUILDABLE: "&amp;$J$18&amp;" | TOTAL REQ: "&amp;G20&amp;" | RECEIVED: "&amp;H20&amp;" | STILL REQUIRED: "&amp;MAX(0,G20-H20)</f>
        <v/>
      </c>
    </row>
    <row r="21">
      <c r="A21" s="54" t="n">
        <v>5</v>
      </c>
      <c r="B21" s="40" t="n">
        <v>1047</v>
      </c>
      <c r="C21" s="55" t="inlineStr">
        <is>
          <t>1C</t>
        </is>
      </c>
      <c r="D21" s="56" t="inlineStr">
        <is>
          <t>Top Plate-4</t>
        </is>
      </c>
      <c r="E21" s="57" t="n">
        <v>1</v>
      </c>
      <c r="F21" s="57" t="n">
        <v>2</v>
      </c>
      <c r="G21" s="57">
        <f>F21*E21</f>
        <v/>
      </c>
      <c r="H21" s="57" t="n">
        <v>2</v>
      </c>
      <c r="I21" s="57">
        <f>MAX(0,G21-H21)</f>
        <v/>
      </c>
      <c r="J21" s="22">
        <f>MIN(_xlfn.IFERROR(QUOTIENT(H21,E21),0),_xlfn.IFERROR(QUOTIENT(H22,E22),0))</f>
        <v/>
      </c>
      <c r="K21" s="53">
        <f>"BUILDABLE: "&amp;$J$21&amp;" | TOTAL REQ: "&amp;G21&amp;" | RECEIVED: "&amp;H21&amp;" | STILL REQUIRED: "&amp;MAX(0,G21-H21)</f>
        <v/>
      </c>
    </row>
    <row r="22">
      <c r="A22" t="n">
        <v>5</v>
      </c>
      <c r="B22" t="n">
        <v>1047</v>
      </c>
      <c r="C22" s="55" t="inlineStr">
        <is>
          <t>2C</t>
        </is>
      </c>
      <c r="D22" s="56" t="inlineStr">
        <is>
          <t>Block</t>
        </is>
      </c>
      <c r="E22" s="57" t="n">
        <v>1</v>
      </c>
      <c r="F22" s="57" t="n">
        <v>2</v>
      </c>
      <c r="G22" s="57">
        <f>F22*E22</f>
        <v/>
      </c>
      <c r="H22" s="57" t="n">
        <v>2</v>
      </c>
      <c r="I22" s="57">
        <f>MAX(0,G22-H22)</f>
        <v/>
      </c>
      <c r="J22">
        <f>MIN(_xlfn.IFERROR(QUOTIENT(H21,E21),0),_xlfn.IFERROR(QUOTIENT(H22,E22),0))</f>
        <v/>
      </c>
      <c r="K22" s="53">
        <f>"BUILDABLE: "&amp;$J$21&amp;" | TOTAL REQ: "&amp;G22&amp;" | RECEIVED: "&amp;H22&amp;" | STILL REQUIRED: "&amp;MAX(0,G22-H22)</f>
        <v/>
      </c>
    </row>
    <row r="23">
      <c r="A23" s="54" t="n">
        <v>6</v>
      </c>
      <c r="B23" s="40" t="n">
        <v>1048</v>
      </c>
      <c r="C23" s="55" t="inlineStr">
        <is>
          <t>1D</t>
        </is>
      </c>
      <c r="D23" s="56" t="inlineStr">
        <is>
          <t>BASE PLATE</t>
        </is>
      </c>
      <c r="E23" s="57" t="n">
        <v>1</v>
      </c>
      <c r="F23" s="57" t="n">
        <v>2</v>
      </c>
      <c r="G23" s="57">
        <f>F23*E23</f>
        <v/>
      </c>
      <c r="H23" s="57" t="n">
        <v>2</v>
      </c>
      <c r="I23" s="57">
        <f>MAX(0,G23-H23)</f>
        <v/>
      </c>
      <c r="J23" s="22">
        <f>MIN(_xlfn.IFERROR(QUOTIENT(H23,E23),0),_xlfn.IFERROR(QUOTIENT(H24,E24),0),_xlfn.IFERROR(QUOTIENT(H25,E25),0),_xlfn.IFERROR(QUOTIENT(H26,E26),0),_xlfn.IFERROR(QUOTIENT(H27,E27),0),_xlfn.IFERROR(QUOTIENT(H28,E28),0),_xlfn.IFERROR(QUOTIENT(H29,E29),0))</f>
        <v/>
      </c>
      <c r="K23" s="53">
        <f>"BUILDABLE: "&amp;$J$23&amp;" | TOTAL REQ: "&amp;G23&amp;" | RECEIVED: "&amp;H23&amp;" | STILL REQUIRED: "&amp;MAX(0,G23-H23)</f>
        <v/>
      </c>
    </row>
    <row r="24">
      <c r="A24" t="n">
        <v>6</v>
      </c>
      <c r="B24" t="n">
        <v>1048</v>
      </c>
      <c r="C24" s="55" t="inlineStr">
        <is>
          <t>2D</t>
        </is>
      </c>
      <c r="D24" s="56" t="inlineStr">
        <is>
          <t>PLATE1</t>
        </is>
      </c>
      <c r="E24" s="57" t="n">
        <v>1</v>
      </c>
      <c r="F24" s="57" t="n">
        <v>2</v>
      </c>
      <c r="G24" s="57">
        <f>F24*E24</f>
        <v/>
      </c>
      <c r="H24" s="57" t="n">
        <v>2</v>
      </c>
      <c r="I24" s="57">
        <f>MAX(0,G24-H24)</f>
        <v/>
      </c>
      <c r="J24">
        <f>MIN(_xlfn.IFERROR(QUOTIENT(H23,E23),0),_xlfn.IFERROR(QUOTIENT(H24,E24),0),_xlfn.IFERROR(QUOTIENT(H25,E25),0),_xlfn.IFERROR(QUOTIENT(H26,E26),0),_xlfn.IFERROR(QUOTIENT(H27,E27),0),_xlfn.IFERROR(QUOTIENT(H28,E28),0),_xlfn.IFERROR(QUOTIENT(H29,E29),0))</f>
        <v/>
      </c>
      <c r="K24" s="53">
        <f>"BUILDABLE: "&amp;$J$23&amp;" | TOTAL REQ: "&amp;G24&amp;" | RECEIVED: "&amp;H24&amp;" | STILL REQUIRED: "&amp;MAX(0,G24-H24)</f>
        <v/>
      </c>
    </row>
    <row r="25">
      <c r="A25" t="n">
        <v>6</v>
      </c>
      <c r="B25" t="n">
        <v>1048</v>
      </c>
      <c r="C25" s="55" t="inlineStr">
        <is>
          <t>3D</t>
        </is>
      </c>
      <c r="D25" s="56" t="inlineStr">
        <is>
          <t>BOTTOM PLATE</t>
        </is>
      </c>
      <c r="E25" s="57" t="n">
        <v>1</v>
      </c>
      <c r="F25" s="57" t="n">
        <v>2</v>
      </c>
      <c r="G25" s="57">
        <f>F25*E25</f>
        <v/>
      </c>
      <c r="H25" s="57" t="n">
        <v>2</v>
      </c>
      <c r="I25" s="57">
        <f>MAX(0,G25-H25)</f>
        <v/>
      </c>
      <c r="J25">
        <f>MIN(_xlfn.IFERROR(QUOTIENT(H23,E23),0),_xlfn.IFERROR(QUOTIENT(H24,E24),0),_xlfn.IFERROR(QUOTIENT(H25,E25),0),_xlfn.IFERROR(QUOTIENT(H26,E26),0),_xlfn.IFERROR(QUOTIENT(H27,E27),0),_xlfn.IFERROR(QUOTIENT(H28,E28),0),_xlfn.IFERROR(QUOTIENT(H29,E29),0))</f>
        <v/>
      </c>
      <c r="K25" s="53">
        <f>"BUILDABLE: "&amp;$J$23&amp;" | TOTAL REQ: "&amp;G25&amp;" | RECEIVED: "&amp;H25&amp;" | STILL REQUIRED: "&amp;MAX(0,G25-H25)</f>
        <v/>
      </c>
    </row>
    <row r="26">
      <c r="A26" t="n">
        <v>6</v>
      </c>
      <c r="B26" t="n">
        <v>1048</v>
      </c>
      <c r="C26" s="55" t="inlineStr">
        <is>
          <t>4D</t>
        </is>
      </c>
      <c r="D26" s="56" t="inlineStr">
        <is>
          <t>RIBS</t>
        </is>
      </c>
      <c r="E26" s="57" t="n">
        <v>2</v>
      </c>
      <c r="F26" s="57" t="n">
        <v>2</v>
      </c>
      <c r="G26" s="57">
        <f>F26*E26</f>
        <v/>
      </c>
      <c r="H26" s="57" t="n">
        <v>4</v>
      </c>
      <c r="I26" s="57">
        <f>MAX(0,G26-H26)</f>
        <v/>
      </c>
      <c r="J26">
        <f>MIN(_xlfn.IFERROR(QUOTIENT(H23,E23),0),_xlfn.IFERROR(QUOTIENT(H24,E24),0),_xlfn.IFERROR(QUOTIENT(H25,E25),0),_xlfn.IFERROR(QUOTIENT(H26,E26),0),_xlfn.IFERROR(QUOTIENT(H27,E27),0),_xlfn.IFERROR(QUOTIENT(H28,E28),0),_xlfn.IFERROR(QUOTIENT(H29,E29),0))</f>
        <v/>
      </c>
      <c r="K26" s="53">
        <f>"BUILDABLE: "&amp;$J$23&amp;" | TOTAL REQ: "&amp;G26&amp;" | RECEIVED: "&amp;H26&amp;" | STILL REQUIRED: "&amp;MAX(0,G26-H26)</f>
        <v/>
      </c>
    </row>
    <row r="27">
      <c r="A27" t="n">
        <v>6</v>
      </c>
      <c r="B27" t="n">
        <v>1048</v>
      </c>
      <c r="C27" s="55" t="inlineStr">
        <is>
          <t>5D</t>
        </is>
      </c>
      <c r="D27" s="56" t="inlineStr">
        <is>
          <t>SUPPORT BRACKET BUSH</t>
        </is>
      </c>
      <c r="E27" s="57" t="n">
        <v>1</v>
      </c>
      <c r="F27" s="57" t="n">
        <v>2</v>
      </c>
      <c r="G27" s="57">
        <f>F27*E27</f>
        <v/>
      </c>
      <c r="H27" s="57" t="n">
        <v>2</v>
      </c>
      <c r="I27" s="57">
        <f>MAX(0,G27-H27)</f>
        <v/>
      </c>
      <c r="J27">
        <f>MIN(_xlfn.IFERROR(QUOTIENT(H23,E23),0),_xlfn.IFERROR(QUOTIENT(H24,E24),0),_xlfn.IFERROR(QUOTIENT(H25,E25),0),_xlfn.IFERROR(QUOTIENT(H26,E26),0),_xlfn.IFERROR(QUOTIENT(H27,E27),0),_xlfn.IFERROR(QUOTIENT(H28,E28),0),_xlfn.IFERROR(QUOTIENT(H29,E29),0))</f>
        <v/>
      </c>
      <c r="K27" s="53">
        <f>"BUILDABLE: "&amp;$J$23&amp;" | TOTAL REQ: "&amp;G27&amp;" | RECEIVED: "&amp;H27&amp;" | STILL REQUIRED: "&amp;MAX(0,G27-H27)</f>
        <v/>
      </c>
    </row>
    <row r="28">
      <c r="A28" t="n">
        <v>6</v>
      </c>
      <c r="B28" t="n">
        <v>1048</v>
      </c>
      <c r="C28" s="55" t="inlineStr">
        <is>
          <t>6D</t>
        </is>
      </c>
      <c r="D28" s="56" t="inlineStr">
        <is>
          <t>JOB LOCATING PIECE</t>
        </is>
      </c>
      <c r="E28" s="57" t="n">
        <v>1</v>
      </c>
      <c r="F28" s="57" t="n">
        <v>2</v>
      </c>
      <c r="G28" s="57">
        <f>F28*E28</f>
        <v/>
      </c>
      <c r="H28" s="57" t="n">
        <v>2</v>
      </c>
      <c r="I28" s="57">
        <f>MAX(0,G28-H28)</f>
        <v/>
      </c>
      <c r="J28">
        <f>MIN(_xlfn.IFERROR(QUOTIENT(H23,E23),0),_xlfn.IFERROR(QUOTIENT(H24,E24),0),_xlfn.IFERROR(QUOTIENT(H25,E25),0),_xlfn.IFERROR(QUOTIENT(H26,E26),0),_xlfn.IFERROR(QUOTIENT(H27,E27),0),_xlfn.IFERROR(QUOTIENT(H28,E28),0),_xlfn.IFERROR(QUOTIENT(H29,E29),0))</f>
        <v/>
      </c>
      <c r="K28" s="53">
        <f>"BUILDABLE: "&amp;$J$23&amp;" | TOTAL REQ: "&amp;G28&amp;" | RECEIVED: "&amp;H28&amp;" | STILL REQUIRED: "&amp;MAX(0,G28-H28)</f>
        <v/>
      </c>
    </row>
    <row r="29">
      <c r="A29" t="n">
        <v>6</v>
      </c>
      <c r="B29" t="n">
        <v>1048</v>
      </c>
      <c r="C29" s="55" t="inlineStr">
        <is>
          <t>7D</t>
        </is>
      </c>
      <c r="D29" s="56" t="inlineStr">
        <is>
          <t>Split Ring</t>
        </is>
      </c>
      <c r="E29" s="57" t="n">
        <v>1</v>
      </c>
      <c r="F29" s="57" t="n">
        <v>2</v>
      </c>
      <c r="G29" s="57">
        <f>F29*E29</f>
        <v/>
      </c>
      <c r="H29" s="57" t="n">
        <v>2</v>
      </c>
      <c r="I29" s="57">
        <f>MAX(0,G29-H29)</f>
        <v/>
      </c>
      <c r="J29">
        <f>MIN(_xlfn.IFERROR(QUOTIENT(H23,E23),0),_xlfn.IFERROR(QUOTIENT(H24,E24),0),_xlfn.IFERROR(QUOTIENT(H25,E25),0),_xlfn.IFERROR(QUOTIENT(H26,E26),0),_xlfn.IFERROR(QUOTIENT(H27,E27),0),_xlfn.IFERROR(QUOTIENT(H28,E28),0),_xlfn.IFERROR(QUOTIENT(H29,E29),0))</f>
        <v/>
      </c>
      <c r="K29" s="53">
        <f>"BUILDABLE: "&amp;$J$23&amp;" | TOTAL REQ: "&amp;G29&amp;" | RECEIVED: "&amp;H29&amp;" | STILL REQUIRED: "&amp;MAX(0,G29-H29)</f>
        <v/>
      </c>
    </row>
    <row r="30">
      <c r="A30" s="39" t="n">
        <v>7</v>
      </c>
      <c r="B30" s="40" t="n">
        <v>1076</v>
      </c>
      <c r="C30" s="55" t="n">
        <v>1</v>
      </c>
      <c r="D30" s="56" t="inlineStr">
        <is>
          <t>BASE PLATE</t>
        </is>
      </c>
      <c r="E30" s="57" t="n">
        <v>1</v>
      </c>
      <c r="F30" s="57" t="n">
        <v>2</v>
      </c>
      <c r="G30" s="57">
        <f>F30*E30</f>
        <v/>
      </c>
      <c r="H30" s="57" t="n">
        <v>2</v>
      </c>
      <c r="I30" s="57">
        <f>MAX(0,G30-H30)</f>
        <v/>
      </c>
      <c r="J30" s="22">
        <f>MIN(_xlfn.IFERROR(QUOTIENT(H30,E30),0),_xlfn.IFERROR(QUOTIENT(H31,E31),0),_xlfn.IFERROR(QUOTIENT(H32,E32),0),_xlfn.IFERROR(QUOTIENT(H33,E33),0),_xlfn.IFERROR(QUOTIENT(H34,E34),0),_xlfn.IFERROR(QUOTIENT(H35,E35),0),_xlfn.IFERROR(QUOTIENT(H36,E36),0),_xlfn.IFERROR(QUOTIENT(H37,E37),0),_xlfn.IFERROR(QUOTIENT(H38,E38),0))</f>
        <v/>
      </c>
      <c r="K30" s="53">
        <f>"BUILDABLE: "&amp;$J$30&amp;" | TOTAL REQ: "&amp;G30&amp;" | RECEIVED: "&amp;H30&amp;" | STILL REQUIRED: "&amp;MAX(0,G30-H30)</f>
        <v/>
      </c>
    </row>
    <row r="31">
      <c r="A31" t="n">
        <v>7</v>
      </c>
      <c r="B31" t="n">
        <v>1076</v>
      </c>
      <c r="C31" s="55" t="inlineStr">
        <is>
          <t>2</t>
        </is>
      </c>
      <c r="D31" s="56" t="inlineStr">
        <is>
          <t>Guide Plate</t>
        </is>
      </c>
      <c r="E31" s="57" t="n">
        <v>1</v>
      </c>
      <c r="F31" s="57" t="n">
        <v>2</v>
      </c>
      <c r="G31" s="57">
        <f>F31*E31</f>
        <v/>
      </c>
      <c r="H31" s="57" t="n">
        <v>2</v>
      </c>
      <c r="I31" s="57">
        <f>MAX(0,G31-H31)</f>
        <v/>
      </c>
      <c r="J31">
        <f>MIN(_xlfn.IFERROR(QUOTIENT(H30,E30),0),_xlfn.IFERROR(QUOTIENT(H31,E31),0),_xlfn.IFERROR(QUOTIENT(H32,E32),0),_xlfn.IFERROR(QUOTIENT(H33,E33),0),_xlfn.IFERROR(QUOTIENT(H34,E34),0),_xlfn.IFERROR(QUOTIENT(H35,E35),0),_xlfn.IFERROR(QUOTIENT(H36,E36),0),_xlfn.IFERROR(QUOTIENT(H37,E37),0),_xlfn.IFERROR(QUOTIENT(H38,E38),0))</f>
        <v/>
      </c>
      <c r="K31" s="53">
        <f>"BUILDABLE: "&amp;$J$30&amp;" | TOTAL REQ: "&amp;G31&amp;" | RECEIVED: "&amp;H31&amp;" | STILL REQUIRED: "&amp;MAX(0,G31-H31)</f>
        <v/>
      </c>
    </row>
    <row r="32">
      <c r="A32" t="n">
        <v>7</v>
      </c>
      <c r="B32" t="n">
        <v>1076</v>
      </c>
      <c r="C32" s="55" t="inlineStr">
        <is>
          <t>3</t>
        </is>
      </c>
      <c r="D32" s="56" t="inlineStr">
        <is>
          <t>Tie Rods</t>
        </is>
      </c>
      <c r="E32" s="57" t="n">
        <v>1</v>
      </c>
      <c r="F32" s="57" t="n">
        <v>2</v>
      </c>
      <c r="G32" s="57">
        <f>F32*E32</f>
        <v/>
      </c>
      <c r="H32" s="57" t="n">
        <v>2</v>
      </c>
      <c r="I32" s="57">
        <f>MAX(0,G32-H32)</f>
        <v/>
      </c>
      <c r="J32">
        <f>MIN(_xlfn.IFERROR(QUOTIENT(H30,E30),0),_xlfn.IFERROR(QUOTIENT(H31,E31),0),_xlfn.IFERROR(QUOTIENT(H32,E32),0),_xlfn.IFERROR(QUOTIENT(H33,E33),0),_xlfn.IFERROR(QUOTIENT(H34,E34),0),_xlfn.IFERROR(QUOTIENT(H35,E35),0),_xlfn.IFERROR(QUOTIENT(H36,E36),0),_xlfn.IFERROR(QUOTIENT(H37,E37),0),_xlfn.IFERROR(QUOTIENT(H38,E38),0))</f>
        <v/>
      </c>
      <c r="K32" s="53">
        <f>"BUILDABLE: "&amp;$J$30&amp;" | TOTAL REQ: "&amp;G32&amp;" | RECEIVED: "&amp;H32&amp;" | STILL REQUIRED: "&amp;MAX(0,G32-H32)</f>
        <v/>
      </c>
    </row>
    <row r="33">
      <c r="A33" t="n">
        <v>7</v>
      </c>
      <c r="B33" t="n">
        <v>1076</v>
      </c>
      <c r="C33" s="55" t="inlineStr">
        <is>
          <t>4</t>
        </is>
      </c>
      <c r="D33" s="56" t="inlineStr">
        <is>
          <t>Support Plate</t>
        </is>
      </c>
      <c r="E33" s="57" t="n">
        <v>1</v>
      </c>
      <c r="F33" s="57" t="n">
        <v>2</v>
      </c>
      <c r="G33" s="57">
        <f>F33*E33</f>
        <v/>
      </c>
      <c r="H33" s="57" t="n">
        <v>2</v>
      </c>
      <c r="I33" s="57">
        <f>MAX(0,G33-H33)</f>
        <v/>
      </c>
      <c r="J33">
        <f>MIN(_xlfn.IFERROR(QUOTIENT(H30,E30),0),_xlfn.IFERROR(QUOTIENT(H31,E31),0),_xlfn.IFERROR(QUOTIENT(H32,E32),0),_xlfn.IFERROR(QUOTIENT(H33,E33),0),_xlfn.IFERROR(QUOTIENT(H34,E34),0),_xlfn.IFERROR(QUOTIENT(H35,E35),0),_xlfn.IFERROR(QUOTIENT(H36,E36),0),_xlfn.IFERROR(QUOTIENT(H37,E37),0),_xlfn.IFERROR(QUOTIENT(H38,E38),0))</f>
        <v/>
      </c>
      <c r="K33" s="53">
        <f>"BUILDABLE: "&amp;$J$30&amp;" | TOTAL REQ: "&amp;G33&amp;" | RECEIVED: "&amp;H33&amp;" | STILL REQUIRED: "&amp;MAX(0,G33-H33)</f>
        <v/>
      </c>
    </row>
    <row r="34">
      <c r="A34" t="n">
        <v>7</v>
      </c>
      <c r="B34" t="n">
        <v>1076</v>
      </c>
      <c r="C34" s="55" t="inlineStr">
        <is>
          <t>5</t>
        </is>
      </c>
      <c r="D34" s="56" t="inlineStr">
        <is>
          <t>Top Support</t>
        </is>
      </c>
      <c r="E34" s="57" t="n">
        <v>1</v>
      </c>
      <c r="F34" s="57" t="n">
        <v>2</v>
      </c>
      <c r="G34" s="57">
        <f>F34*E34</f>
        <v/>
      </c>
      <c r="H34" s="57" t="n">
        <v>2</v>
      </c>
      <c r="I34" s="57">
        <f>MAX(0,G34-H34)</f>
        <v/>
      </c>
      <c r="J34">
        <f>MIN(_xlfn.IFERROR(QUOTIENT(H30,E30),0),_xlfn.IFERROR(QUOTIENT(H31,E31),0),_xlfn.IFERROR(QUOTIENT(H32,E32),0),_xlfn.IFERROR(QUOTIENT(H33,E33),0),_xlfn.IFERROR(QUOTIENT(H34,E34),0),_xlfn.IFERROR(QUOTIENT(H35,E35),0),_xlfn.IFERROR(QUOTIENT(H36,E36),0),_xlfn.IFERROR(QUOTIENT(H37,E37),0),_xlfn.IFERROR(QUOTIENT(H38,E38),0))</f>
        <v/>
      </c>
      <c r="K34" s="53">
        <f>"BUILDABLE: "&amp;$J$30&amp;" | TOTAL REQ: "&amp;G34&amp;" | RECEIVED: "&amp;H34&amp;" | STILL REQUIRED: "&amp;MAX(0,G34-H34)</f>
        <v/>
      </c>
    </row>
    <row r="35">
      <c r="A35" t="n">
        <v>7</v>
      </c>
      <c r="B35" t="n">
        <v>1076</v>
      </c>
      <c r="C35" s="55" t="inlineStr">
        <is>
          <t>6</t>
        </is>
      </c>
      <c r="D35" s="56" t="inlineStr">
        <is>
          <t>Clamp</t>
        </is>
      </c>
      <c r="E35" s="57" t="n">
        <v>4</v>
      </c>
      <c r="F35" s="57" t="n">
        <v>2</v>
      </c>
      <c r="G35" s="57">
        <f>F35*E35</f>
        <v/>
      </c>
      <c r="H35" s="57" t="n">
        <v>8</v>
      </c>
      <c r="I35" s="57">
        <f>MAX(0,G35-H35)</f>
        <v/>
      </c>
      <c r="J35">
        <f>MIN(_xlfn.IFERROR(QUOTIENT(H30,E30),0),_xlfn.IFERROR(QUOTIENT(H31,E31),0),_xlfn.IFERROR(QUOTIENT(H32,E32),0),_xlfn.IFERROR(QUOTIENT(H33,E33),0),_xlfn.IFERROR(QUOTIENT(H34,E34),0),_xlfn.IFERROR(QUOTIENT(H35,E35),0),_xlfn.IFERROR(QUOTIENT(H36,E36),0),_xlfn.IFERROR(QUOTIENT(H37,E37),0),_xlfn.IFERROR(QUOTIENT(H38,E38),0))</f>
        <v/>
      </c>
      <c r="K35" s="53">
        <f>"BUILDABLE: "&amp;$J$30&amp;" | TOTAL REQ: "&amp;G35&amp;" | RECEIVED: "&amp;H35&amp;" | STILL REQUIRED: "&amp;MAX(0,G35-H35)</f>
        <v/>
      </c>
    </row>
    <row r="36">
      <c r="A36" t="n">
        <v>7</v>
      </c>
      <c r="B36" t="n">
        <v>1076</v>
      </c>
      <c r="C36" s="55" t="inlineStr">
        <is>
          <t>7</t>
        </is>
      </c>
      <c r="D36" s="56" t="inlineStr">
        <is>
          <t>Closure</t>
        </is>
      </c>
      <c r="E36" s="57" t="n">
        <v>1</v>
      </c>
      <c r="F36" s="57" t="n">
        <v>2</v>
      </c>
      <c r="G36" s="57">
        <f>F36*E36</f>
        <v/>
      </c>
      <c r="H36" s="57" t="n">
        <v>2</v>
      </c>
      <c r="I36" s="57">
        <f>MAX(0,G36-H36)</f>
        <v/>
      </c>
      <c r="J36">
        <f>MIN(_xlfn.IFERROR(QUOTIENT(H30,E30),0),_xlfn.IFERROR(QUOTIENT(H31,E31),0),_xlfn.IFERROR(QUOTIENT(H32,E32),0),_xlfn.IFERROR(QUOTIENT(H33,E33),0),_xlfn.IFERROR(QUOTIENT(H34,E34),0),_xlfn.IFERROR(QUOTIENT(H35,E35),0),_xlfn.IFERROR(QUOTIENT(H36,E36),0),_xlfn.IFERROR(QUOTIENT(H37,E37),0),_xlfn.IFERROR(QUOTIENT(H38,E38),0))</f>
        <v/>
      </c>
      <c r="K36" s="53">
        <f>"BUILDABLE: "&amp;$J$30&amp;" | TOTAL REQ: "&amp;G36&amp;" | RECEIVED: "&amp;H36&amp;" | STILL REQUIRED: "&amp;MAX(0,G36-H36)</f>
        <v/>
      </c>
    </row>
    <row r="37">
      <c r="A37" t="n">
        <v>7</v>
      </c>
      <c r="B37" t="n">
        <v>1076</v>
      </c>
      <c r="C37" s="55" t="inlineStr">
        <is>
          <t>8</t>
        </is>
      </c>
      <c r="D37" s="56" t="inlineStr">
        <is>
          <t>Split Ring</t>
        </is>
      </c>
      <c r="E37" s="57" t="n">
        <v>1</v>
      </c>
      <c r="F37" s="57" t="n">
        <v>2</v>
      </c>
      <c r="G37" s="57">
        <f>F37*E37</f>
        <v/>
      </c>
      <c r="H37" s="57" t="n">
        <v>2</v>
      </c>
      <c r="I37" s="57">
        <f>MAX(0,G37-H37)</f>
        <v/>
      </c>
      <c r="J37">
        <f>MIN(_xlfn.IFERROR(QUOTIENT(H30,E30),0),_xlfn.IFERROR(QUOTIENT(H31,E31),0),_xlfn.IFERROR(QUOTIENT(H32,E32),0),_xlfn.IFERROR(QUOTIENT(H33,E33),0),_xlfn.IFERROR(QUOTIENT(H34,E34),0),_xlfn.IFERROR(QUOTIENT(H35,E35),0),_xlfn.IFERROR(QUOTIENT(H36,E36),0),_xlfn.IFERROR(QUOTIENT(H37,E37),0),_xlfn.IFERROR(QUOTIENT(H38,E38),0))</f>
        <v/>
      </c>
      <c r="K37" s="53">
        <f>"BUILDABLE: "&amp;$J$30&amp;" | TOTAL REQ: "&amp;G37&amp;" | RECEIVED: "&amp;H37&amp;" | STILL REQUIRED: "&amp;MAX(0,G37-H37)</f>
        <v/>
      </c>
    </row>
    <row r="38">
      <c r="A38" t="n">
        <v>7</v>
      </c>
      <c r="B38" t="n">
        <v>1076</v>
      </c>
      <c r="C38" s="55" t="n">
        <v>9</v>
      </c>
      <c r="D38" s="56" t="inlineStr">
        <is>
          <t>PIN</t>
        </is>
      </c>
      <c r="E38" s="57" t="n">
        <v>9</v>
      </c>
      <c r="F38" s="57" t="n">
        <v>2</v>
      </c>
      <c r="G38" s="57">
        <f>F38*E38</f>
        <v/>
      </c>
      <c r="H38" s="57" t="n">
        <v>18</v>
      </c>
      <c r="I38" s="57">
        <f>MAX(0,G38-H38)</f>
        <v/>
      </c>
      <c r="J38">
        <f>MIN(_xlfn.IFERROR(QUOTIENT(H30,E30),0),_xlfn.IFERROR(QUOTIENT(H31,E31),0),_xlfn.IFERROR(QUOTIENT(H32,E32),0),_xlfn.IFERROR(QUOTIENT(H33,E33),0),_xlfn.IFERROR(QUOTIENT(H34,E34),0),_xlfn.IFERROR(QUOTIENT(H35,E35),0),_xlfn.IFERROR(QUOTIENT(H36,E36),0),_xlfn.IFERROR(QUOTIENT(H37,E37),0),_xlfn.IFERROR(QUOTIENT(H38,E38),0))</f>
        <v/>
      </c>
      <c r="K38" s="53">
        <f>"BUILDABLE: "&amp;$J$30&amp;" | TOTAL REQ: "&amp;G38&amp;" | RECEIVED: "&amp;H38&amp;" | STILL REQUIRED: "&amp;MAX(0,G38-H38)</f>
        <v/>
      </c>
    </row>
    <row r="39">
      <c r="A39" s="39" t="n">
        <v>8</v>
      </c>
      <c r="B39" s="40" t="n">
        <v>1080</v>
      </c>
      <c r="C39" s="55" t="inlineStr">
        <is>
          <t>1</t>
        </is>
      </c>
      <c r="D39" s="56" t="inlineStr">
        <is>
          <t>Bottom Plate</t>
        </is>
      </c>
      <c r="E39" s="57" t="n">
        <v>1</v>
      </c>
      <c r="F39" s="57" t="n">
        <v>2</v>
      </c>
      <c r="G39" s="57">
        <f>F39*E39</f>
        <v/>
      </c>
      <c r="H39" s="57" t="n">
        <v>2</v>
      </c>
      <c r="I39" s="57">
        <f>MAX(0,G39-H39)</f>
        <v/>
      </c>
      <c r="J39" s="22">
        <f>MIN(_xlfn.IFERROR(QUOTIENT(H39,E39),0),_xlfn.IFERROR(QUOTIENT(H40,E40),0),_xlfn.IFERROR(QUOTIENT(H41,E41),0),_xlfn.IFERROR(QUOTIENT(H42,E42),0),_xlfn.IFERROR(QUOTIENT(H43,E43),0),_xlfn.IFERROR(QUOTIENT(H44,E44),0))</f>
        <v/>
      </c>
      <c r="K39" s="53">
        <f>"BUILDABLE: "&amp;$J$39&amp;" | TOTAL REQ: "&amp;G39&amp;" | RECEIVED: "&amp;H39&amp;" | STILL REQUIRED: "&amp;MAX(0,G39-H39)</f>
        <v/>
      </c>
    </row>
    <row r="40">
      <c r="A40" t="n">
        <v>8</v>
      </c>
      <c r="B40" t="n">
        <v>1080</v>
      </c>
      <c r="C40" s="55" t="inlineStr">
        <is>
          <t>2</t>
        </is>
      </c>
      <c r="D40" s="56" t="inlineStr">
        <is>
          <t>Clamping Plate</t>
        </is>
      </c>
      <c r="E40" s="57" t="n">
        <v>1</v>
      </c>
      <c r="F40" s="57" t="n">
        <v>2</v>
      </c>
      <c r="G40" s="57">
        <f>F40*E40</f>
        <v/>
      </c>
      <c r="H40" s="57" t="n">
        <v>2</v>
      </c>
      <c r="I40" s="57">
        <f>MAX(0,G40-H40)</f>
        <v/>
      </c>
      <c r="J40">
        <f>MIN(_xlfn.IFERROR(QUOTIENT(H39,E39),0),_xlfn.IFERROR(QUOTIENT(H40,E40),0),_xlfn.IFERROR(QUOTIENT(H41,E41),0),_xlfn.IFERROR(QUOTIENT(H42,E42),0),_xlfn.IFERROR(QUOTIENT(H43,E43),0),_xlfn.IFERROR(QUOTIENT(H44,E44),0))</f>
        <v/>
      </c>
      <c r="K40" s="53">
        <f>"BUILDABLE: "&amp;$J$39&amp;" | TOTAL REQ: "&amp;G40&amp;" | RECEIVED: "&amp;H40&amp;" | STILL REQUIRED: "&amp;MAX(0,G40-H40)</f>
        <v/>
      </c>
    </row>
    <row r="41">
      <c r="A41" t="n">
        <v>8</v>
      </c>
      <c r="B41" t="n">
        <v>1080</v>
      </c>
      <c r="C41" s="55" t="inlineStr">
        <is>
          <t>3</t>
        </is>
      </c>
      <c r="D41" s="56" t="inlineStr">
        <is>
          <t>Top Plate</t>
        </is>
      </c>
      <c r="E41" s="57" t="n">
        <v>1</v>
      </c>
      <c r="F41" s="57" t="n">
        <v>2</v>
      </c>
      <c r="G41" s="57">
        <f>F41*E41</f>
        <v/>
      </c>
      <c r="H41" s="57" t="n">
        <v>2</v>
      </c>
      <c r="I41" s="57">
        <f>MAX(0,G41-H41)</f>
        <v/>
      </c>
      <c r="J41">
        <f>MIN(_xlfn.IFERROR(QUOTIENT(H39,E39),0),_xlfn.IFERROR(QUOTIENT(H40,E40),0),_xlfn.IFERROR(QUOTIENT(H41,E41),0),_xlfn.IFERROR(QUOTIENT(H42,E42),0),_xlfn.IFERROR(QUOTIENT(H43,E43),0),_xlfn.IFERROR(QUOTIENT(H44,E44),0))</f>
        <v/>
      </c>
      <c r="K41" s="53">
        <f>"BUILDABLE: "&amp;$J$39&amp;" | TOTAL REQ: "&amp;G41&amp;" | RECEIVED: "&amp;H41&amp;" | STILL REQUIRED: "&amp;MAX(0,G41-H41)</f>
        <v/>
      </c>
    </row>
    <row r="42">
      <c r="A42" t="n">
        <v>8</v>
      </c>
      <c r="B42" t="n">
        <v>1080</v>
      </c>
      <c r="C42" s="55" t="inlineStr">
        <is>
          <t>4</t>
        </is>
      </c>
      <c r="D42" s="56" t="inlineStr">
        <is>
          <t>Tie Rods</t>
        </is>
      </c>
      <c r="E42" s="57" t="n">
        <v>4</v>
      </c>
      <c r="F42" s="57" t="n">
        <v>2</v>
      </c>
      <c r="G42" s="57">
        <f>F42*E42</f>
        <v/>
      </c>
      <c r="H42" s="57" t="n">
        <v>8</v>
      </c>
      <c r="I42" s="57">
        <f>MAX(0,G42-H42)</f>
        <v/>
      </c>
      <c r="J42">
        <f>MIN(_xlfn.IFERROR(QUOTIENT(H39,E39),0),_xlfn.IFERROR(QUOTIENT(H40,E40),0),_xlfn.IFERROR(QUOTIENT(H41,E41),0),_xlfn.IFERROR(QUOTIENT(H42,E42),0),_xlfn.IFERROR(QUOTIENT(H43,E43),0),_xlfn.IFERROR(QUOTIENT(H44,E44),0))</f>
        <v/>
      </c>
      <c r="K42" s="53">
        <f>"BUILDABLE: "&amp;$J$39&amp;" | TOTAL REQ: "&amp;G42&amp;" | RECEIVED: "&amp;H42&amp;" | STILL REQUIRED: "&amp;MAX(0,G42-H42)</f>
        <v/>
      </c>
    </row>
    <row r="43">
      <c r="A43" t="n">
        <v>8</v>
      </c>
      <c r="B43" t="n">
        <v>1080</v>
      </c>
      <c r="C43" s="55" t="inlineStr">
        <is>
          <t>5</t>
        </is>
      </c>
      <c r="D43" s="56" t="inlineStr">
        <is>
          <t>Locating Bush</t>
        </is>
      </c>
      <c r="E43" s="57" t="n">
        <v>6</v>
      </c>
      <c r="F43" s="57" t="n">
        <v>2</v>
      </c>
      <c r="G43" s="57">
        <f>F43*E43</f>
        <v/>
      </c>
      <c r="H43" s="57" t="n">
        <v>12</v>
      </c>
      <c r="I43" s="57">
        <f>MAX(0,G43-H43)</f>
        <v/>
      </c>
      <c r="J43">
        <f>MIN(_xlfn.IFERROR(QUOTIENT(H39,E39),0),_xlfn.IFERROR(QUOTIENT(H40,E40),0),_xlfn.IFERROR(QUOTIENT(H41,E41),0),_xlfn.IFERROR(QUOTIENT(H42,E42),0),_xlfn.IFERROR(QUOTIENT(H43,E43),0),_xlfn.IFERROR(QUOTIENT(H44,E44),0))</f>
        <v/>
      </c>
      <c r="K43" s="53">
        <f>"BUILDABLE: "&amp;$J$39&amp;" | TOTAL REQ: "&amp;G43&amp;" | RECEIVED: "&amp;H43&amp;" | STILL REQUIRED: "&amp;MAX(0,G43-H43)</f>
        <v/>
      </c>
    </row>
    <row r="44">
      <c r="A44" t="n">
        <v>8</v>
      </c>
      <c r="B44" t="n">
        <v>1080</v>
      </c>
      <c r="C44" s="55" t="n">
        <v>8</v>
      </c>
      <c r="D44" s="56" t="inlineStr">
        <is>
          <t xml:space="preserve">DOWEL PIN </t>
        </is>
      </c>
      <c r="E44" s="57" t="n">
        <v>2</v>
      </c>
      <c r="F44" s="57" t="n">
        <v>2</v>
      </c>
      <c r="G44" s="57">
        <f>F44*E44</f>
        <v/>
      </c>
      <c r="H44" s="57" t="n">
        <v>4</v>
      </c>
      <c r="I44" s="57">
        <f>MAX(0,G44-H44)</f>
        <v/>
      </c>
      <c r="J44">
        <f>MIN(_xlfn.IFERROR(QUOTIENT(H39,E39),0),_xlfn.IFERROR(QUOTIENT(H40,E40),0),_xlfn.IFERROR(QUOTIENT(H41,E41),0),_xlfn.IFERROR(QUOTIENT(H42,E42),0),_xlfn.IFERROR(QUOTIENT(H43,E43),0),_xlfn.IFERROR(QUOTIENT(H44,E44),0))</f>
        <v/>
      </c>
      <c r="K44" s="53">
        <f>"BUILDABLE: "&amp;$J$39&amp;" | TOTAL REQ: "&amp;G44&amp;" | RECEIVED: "&amp;H44&amp;" | STILL REQUIRED: "&amp;MAX(0,G44-H44)</f>
        <v/>
      </c>
    </row>
    <row r="45">
      <c r="B45" s="0" t="n">
        <v>1080</v>
      </c>
      <c r="J45" s="0" t="n"/>
      <c r="K45" s="0" t="n"/>
    </row>
  </sheetData>
  <autoFilter ref="A3:K45"/>
  <mergeCells count="1">
    <mergeCell ref="A1:K2"/>
  </mergeCells>
  <conditionalFormatting sqref="I3:I44">
    <cfRule type="cellIs" priority="3" operator="equal" dxfId="1">
      <formula>0</formula>
    </cfRule>
    <cfRule type="cellIs" priority="4" operator="equal" dxfId="2">
      <formula>0</formula>
    </cfRule>
    <cfRule type="cellIs" priority="5" operator="greaterThan" dxfId="0">
      <formula>0</formula>
    </cfRule>
  </conditionalFormatting>
  <conditionalFormatting sqref="J3:J44">
    <cfRule type="cellIs" priority="2" operator="greaterThan" dxfId="0">
      <formula>0</formula>
    </cfRule>
    <cfRule type="cellIs" priority="1" operator="equal" dxfId="2">
      <formula>0</formula>
    </cfRule>
  </conditionalFormatting>
  <conditionalFormatting sqref="I45 J4:J44">
    <cfRule type="expression" priority="9" dxfId="9">
      <formula>I4&gt;0</formula>
    </cfRule>
  </conditionalFormatting>
  <conditionalFormatting sqref="J45 K4:K44">
    <cfRule type="expression" priority="11" dxfId="9">
      <formula>ISNUMBER(SEARCH("COMPLETED",J4))</formula>
    </cfRule>
    <cfRule type="expression" priority="10" dxfId="11">
      <formula>ISNUMBER(SEARCH("PENDING",J4))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9"/>
  <sheetViews>
    <sheetView showGridLines="0" tabSelected="1" topLeftCell="D1" zoomScale="46" workbookViewId="0">
      <pane ySplit="3" topLeftCell="A4" activePane="bottomLeft" state="frozen"/>
      <selection pane="bottomLeft" activeCell="H26" sqref="H26"/>
    </sheetView>
  </sheetViews>
  <sheetFormatPr baseColWidth="8" defaultColWidth="10" defaultRowHeight="14.25" customHeight="1"/>
  <cols>
    <col width="17.730469" customWidth="1" style="1" min="2" max="2"/>
    <col width="20.730469" customWidth="1" style="1" min="3" max="3"/>
    <col width="32.597656" customWidth="1" style="1" min="4" max="4"/>
    <col width="15.730469" customWidth="1" style="1" min="5" max="9"/>
    <col width="21.464844" customWidth="1" style="1" min="10" max="10"/>
    <col width="64.53125" customWidth="1" style="1" min="11" max="11"/>
    <col width="30.929688" customWidth="1" style="1" min="12" max="12"/>
  </cols>
  <sheetData>
    <row r="1" ht="14.25" customHeight="1" s="70">
      <c r="A1" s="61" t="inlineStr">
        <is>
          <t>CORVA UPDATED  FIXTURES LIST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2" t="n"/>
      <c r="M1" s="2" t="n"/>
    </row>
    <row r="2" ht="21.75" customHeight="1" s="70">
      <c r="A2" s="73" t="n"/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2" t="n"/>
      <c r="M2" s="2" t="n"/>
    </row>
    <row r="3" ht="14.65" customHeight="1" s="70">
      <c r="A3" s="10" t="inlineStr">
        <is>
          <t>S.NO</t>
        </is>
      </c>
      <c r="B3" s="11" t="inlineStr">
        <is>
          <t>FT NO</t>
        </is>
      </c>
      <c r="C3" s="12" t="inlineStr">
        <is>
          <t>ITEM NO</t>
        </is>
      </c>
      <c r="D3" s="13" t="inlineStr">
        <is>
          <t>DESCRIPTION</t>
        </is>
      </c>
      <c r="E3" s="14" t="inlineStr">
        <is>
          <t>BOM QTY</t>
        </is>
      </c>
      <c r="F3" s="14" t="inlineStr">
        <is>
          <t xml:space="preserve">NO OF SETS </t>
        </is>
      </c>
      <c r="G3" s="14" t="inlineStr">
        <is>
          <t>TOTAL QTY</t>
        </is>
      </c>
      <c r="H3" s="15" t="inlineStr">
        <is>
          <t>RECIVED</t>
        </is>
      </c>
      <c r="I3" s="14" t="inlineStr">
        <is>
          <t>BALANCE</t>
        </is>
      </c>
      <c r="J3" s="16" t="inlineStr">
        <is>
          <t>BUILDABLE FIXTURES</t>
        </is>
      </c>
      <c r="K3" s="14" t="inlineStr">
        <is>
          <t>STATUS</t>
        </is>
      </c>
      <c r="L3" s="2" t="n"/>
      <c r="M3" s="2" t="n"/>
    </row>
    <row r="4" ht="14.65" customHeight="1" s="70">
      <c r="A4" s="17" t="n">
        <v>1</v>
      </c>
      <c r="B4" s="18" t="n">
        <v>1084</v>
      </c>
      <c r="C4" s="19" t="n">
        <v>1</v>
      </c>
      <c r="D4" s="20" t="inlineStr">
        <is>
          <t xml:space="preserve">TOP PLATE </t>
        </is>
      </c>
      <c r="E4" s="22" t="n">
        <v>1</v>
      </c>
      <c r="F4" s="22" t="n">
        <v>10</v>
      </c>
      <c r="G4" s="22">
        <f>F4*E4</f>
        <v/>
      </c>
      <c r="H4" s="22" t="n">
        <v>4</v>
      </c>
      <c r="I4" s="22">
        <f>MAX(0,G4-H4)</f>
        <v/>
      </c>
      <c r="J4" s="22">
        <f>MIN(_xlfn.IFERROR(QUOTIENT(H4,E4),0),_xlfn.IFERROR(QUOTIENT(H5,E5),0),_xlfn.IFERROR(QUOTIENT(H6,E6),0),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,_xlfn.IFERROR(QUOTIENT(H16,E16),0),_xlfn.IFERROR(QUOTIENT(H17,E17),0),_xlfn.IFERROR(QUOTIENT(H18,E18),0),_xlfn.IFERROR(QUOTIENT(H19,E19),0),_xlfn.IFERROR(QUOTIENT(H20,E20),0),_xlfn.IFERROR(QUOTIENT(H21,E21),0),_xlfn.IFERROR(QUOTIENT(H22,E22),0),_xlfn.IFERROR(QUOTIENT(H23,E23),0),_xlfn.IFERROR(QUOTIENT(H24,E24),0))</f>
        <v/>
      </c>
      <c r="K4" s="14">
        <f>"BUILDABLE: "&amp;$J$4&amp;" | TOTAL REQ: "&amp;G4&amp;" | RECEIVED: "&amp;H4&amp;" | STILL REQUIRED: "&amp;MAX(0,G4-H4)</f>
        <v/>
      </c>
      <c r="L4" s="2" t="n"/>
      <c r="M4" s="2" t="n"/>
    </row>
    <row r="5" ht="14.65" customHeight="1" s="70">
      <c r="A5" t="n">
        <v>1</v>
      </c>
      <c r="B5" t="n">
        <v>1084</v>
      </c>
      <c r="C5" s="19" t="n">
        <v>2</v>
      </c>
      <c r="D5" s="20" t="inlineStr">
        <is>
          <t>BOTTOM PLATE</t>
        </is>
      </c>
      <c r="E5" s="22" t="n">
        <v>1</v>
      </c>
      <c r="F5" s="22" t="n">
        <v>10</v>
      </c>
      <c r="G5" s="22">
        <f>F5*E5</f>
        <v/>
      </c>
      <c r="H5" s="22" t="n">
        <v>4</v>
      </c>
      <c r="I5" s="22">
        <f>MAX(0,G5-H5)</f>
        <v/>
      </c>
      <c r="J5">
        <f>MIN(_xlfn.IFERROR(QUOTIENT(H4,E4),0),_xlfn.IFERROR(QUOTIENT(H5,E5),0),_xlfn.IFERROR(QUOTIENT(H6,E6),0),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,_xlfn.IFERROR(QUOTIENT(H16,E16),0),_xlfn.IFERROR(QUOTIENT(H17,E17),0),_xlfn.IFERROR(QUOTIENT(H18,E18),0),_xlfn.IFERROR(QUOTIENT(H19,E19),0),_xlfn.IFERROR(QUOTIENT(H20,E20),0),_xlfn.IFERROR(QUOTIENT(H21,E21),0),_xlfn.IFERROR(QUOTIENT(H22,E22),0),_xlfn.IFERROR(QUOTIENT(H23,E23),0),_xlfn.IFERROR(QUOTIENT(H24,E24),0))</f>
        <v/>
      </c>
      <c r="K5" s="14">
        <f>"BUILDABLE: "&amp;$J$4&amp;" | TOTAL REQ: "&amp;G5&amp;" | RECEIVED: "&amp;H5&amp;" | STILL REQUIRED: "&amp;MAX(0,G5-H5)</f>
        <v/>
      </c>
      <c r="L5" s="2" t="n"/>
      <c r="M5" s="2" t="n"/>
    </row>
    <row r="6" ht="14.65" customHeight="1" s="70">
      <c r="A6" t="n">
        <v>1</v>
      </c>
      <c r="B6" t="n">
        <v>1084</v>
      </c>
      <c r="C6" s="19" t="n">
        <v>3</v>
      </c>
      <c r="D6" s="20" t="inlineStr">
        <is>
          <t>SS PIPE</t>
        </is>
      </c>
      <c r="E6" s="22" t="n">
        <v>3</v>
      </c>
      <c r="F6" s="22" t="n">
        <v>10</v>
      </c>
      <c r="G6" s="22">
        <f>F6*E6</f>
        <v/>
      </c>
      <c r="H6" s="22" t="n">
        <v>16</v>
      </c>
      <c r="I6" s="22">
        <f>MAX(0,G6-H6)</f>
        <v/>
      </c>
      <c r="J6">
        <f>MIN(_xlfn.IFERROR(QUOTIENT(H4,E4),0),_xlfn.IFERROR(QUOTIENT(H5,E5),0),_xlfn.IFERROR(QUOTIENT(H6,E6),0),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,_xlfn.IFERROR(QUOTIENT(H16,E16),0),_xlfn.IFERROR(QUOTIENT(H17,E17),0),_xlfn.IFERROR(QUOTIENT(H18,E18),0),_xlfn.IFERROR(QUOTIENT(H19,E19),0),_xlfn.IFERROR(QUOTIENT(H20,E20),0),_xlfn.IFERROR(QUOTIENT(H21,E21),0),_xlfn.IFERROR(QUOTIENT(H22,E22),0),_xlfn.IFERROR(QUOTIENT(H23,E23),0),_xlfn.IFERROR(QUOTIENT(H24,E24),0))</f>
        <v/>
      </c>
      <c r="K6" s="14">
        <f>"BUILDABLE: "&amp;$J$4&amp;" | TOTAL REQ: "&amp;G6&amp;" | RECEIVED: "&amp;H6&amp;" | STILL REQUIRED: "&amp;MAX(0,G6-H6)</f>
        <v/>
      </c>
      <c r="L6" s="2" t="n"/>
      <c r="M6" s="2" t="n"/>
    </row>
    <row r="7" ht="14.65" customHeight="1" s="70">
      <c r="A7" t="n">
        <v>1</v>
      </c>
      <c r="B7" t="n">
        <v>1084</v>
      </c>
      <c r="C7" s="19" t="n">
        <v>4</v>
      </c>
      <c r="D7" s="20" t="inlineStr">
        <is>
          <t>PLUG 1</t>
        </is>
      </c>
      <c r="E7" s="22" t="n">
        <v>3</v>
      </c>
      <c r="F7" s="22" t="n">
        <v>10</v>
      </c>
      <c r="G7" s="22">
        <f>F7*E7</f>
        <v/>
      </c>
      <c r="H7" s="22" t="n">
        <v>20</v>
      </c>
      <c r="I7" s="22">
        <f>MAX(0,G7-H7)</f>
        <v/>
      </c>
      <c r="J7">
        <f>MIN(_xlfn.IFERROR(QUOTIENT(H4,E4),0),_xlfn.IFERROR(QUOTIENT(H5,E5),0),_xlfn.IFERROR(QUOTIENT(H6,E6),0),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,_xlfn.IFERROR(QUOTIENT(H16,E16),0),_xlfn.IFERROR(QUOTIENT(H17,E17),0),_xlfn.IFERROR(QUOTIENT(H18,E18),0),_xlfn.IFERROR(QUOTIENT(H19,E19),0),_xlfn.IFERROR(QUOTIENT(H20,E20),0),_xlfn.IFERROR(QUOTIENT(H21,E21),0),_xlfn.IFERROR(QUOTIENT(H22,E22),0),_xlfn.IFERROR(QUOTIENT(H23,E23),0),_xlfn.IFERROR(QUOTIENT(H24,E24),0))</f>
        <v/>
      </c>
      <c r="K7" s="14">
        <f>"BUILDABLE: "&amp;$J$4&amp;" | TOTAL REQ: "&amp;G7&amp;" | RECEIVED: "&amp;H7&amp;" | STILL REQUIRED: "&amp;MAX(0,G7-H7)</f>
        <v/>
      </c>
      <c r="L7" s="2" t="n"/>
      <c r="M7" s="2" t="n"/>
    </row>
    <row r="8" ht="14.65" customHeight="1" s="70">
      <c r="A8" t="n">
        <v>1</v>
      </c>
      <c r="B8" t="n">
        <v>1084</v>
      </c>
      <c r="C8" s="19" t="n">
        <v>5</v>
      </c>
      <c r="D8" s="20" t="inlineStr">
        <is>
          <t>PLUG 2</t>
        </is>
      </c>
      <c r="E8" s="22" t="n">
        <v>3</v>
      </c>
      <c r="F8" s="22" t="n">
        <v>10</v>
      </c>
      <c r="G8" s="22">
        <f>F8*E8</f>
        <v/>
      </c>
      <c r="H8" s="22" t="n">
        <v>24</v>
      </c>
      <c r="I8" s="22">
        <f>MAX(0,G8-H8)</f>
        <v/>
      </c>
      <c r="J8">
        <f>MIN(_xlfn.IFERROR(QUOTIENT(H4,E4),0),_xlfn.IFERROR(QUOTIENT(H5,E5),0),_xlfn.IFERROR(QUOTIENT(H6,E6),0),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,_xlfn.IFERROR(QUOTIENT(H16,E16),0),_xlfn.IFERROR(QUOTIENT(H17,E17),0),_xlfn.IFERROR(QUOTIENT(H18,E18),0),_xlfn.IFERROR(QUOTIENT(H19,E19),0),_xlfn.IFERROR(QUOTIENT(H20,E20),0),_xlfn.IFERROR(QUOTIENT(H21,E21),0),_xlfn.IFERROR(QUOTIENT(H22,E22),0),_xlfn.IFERROR(QUOTIENT(H23,E23),0),_xlfn.IFERROR(QUOTIENT(H24,E24),0))</f>
        <v/>
      </c>
      <c r="K8" s="14">
        <f>"BUILDABLE: "&amp;$J$4&amp;" | TOTAL REQ: "&amp;G8&amp;" | RECEIVED: "&amp;H8&amp;" | STILL REQUIRED: "&amp;MAX(0,G8-H8)</f>
        <v/>
      </c>
      <c r="L8" s="2" t="n"/>
      <c r="M8" s="2" t="n"/>
    </row>
    <row r="9" ht="14.65" customHeight="1" s="70">
      <c r="A9" t="n">
        <v>1</v>
      </c>
      <c r="B9" t="n">
        <v>1084</v>
      </c>
      <c r="C9" s="19" t="n">
        <v>6</v>
      </c>
      <c r="D9" s="20" t="inlineStr">
        <is>
          <t>PIN 1</t>
        </is>
      </c>
      <c r="E9" s="22" t="n">
        <v>1</v>
      </c>
      <c r="F9" s="22" t="n">
        <v>10</v>
      </c>
      <c r="G9" s="22">
        <f>F9*E9</f>
        <v/>
      </c>
      <c r="H9" s="22" t="n">
        <v>4</v>
      </c>
      <c r="I9" s="22">
        <f>MAX(0,G9-H9)</f>
        <v/>
      </c>
      <c r="J9">
        <f>MIN(_xlfn.IFERROR(QUOTIENT(H4,E4),0),_xlfn.IFERROR(QUOTIENT(H5,E5),0),_xlfn.IFERROR(QUOTIENT(H6,E6),0),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,_xlfn.IFERROR(QUOTIENT(H16,E16),0),_xlfn.IFERROR(QUOTIENT(H17,E17),0),_xlfn.IFERROR(QUOTIENT(H18,E18),0),_xlfn.IFERROR(QUOTIENT(H19,E19),0),_xlfn.IFERROR(QUOTIENT(H20,E20),0),_xlfn.IFERROR(QUOTIENT(H21,E21),0),_xlfn.IFERROR(QUOTIENT(H22,E22),0),_xlfn.IFERROR(QUOTIENT(H23,E23),0),_xlfn.IFERROR(QUOTIENT(H24,E24),0))</f>
        <v/>
      </c>
      <c r="K9" s="14">
        <f>"BUILDABLE: "&amp;$J$4&amp;" | TOTAL REQ: "&amp;G9&amp;" | RECEIVED: "&amp;H9&amp;" | STILL REQUIRED: "&amp;MAX(0,G9-H9)</f>
        <v/>
      </c>
      <c r="L9" s="2" t="n"/>
      <c r="M9" s="2" t="n"/>
    </row>
    <row r="10" ht="14.65" customHeight="1" s="70">
      <c r="A10" t="n">
        <v>1</v>
      </c>
      <c r="B10" t="n">
        <v>1084</v>
      </c>
      <c r="C10" s="19" t="n">
        <v>8</v>
      </c>
      <c r="D10" s="20" t="inlineStr">
        <is>
          <t>PIN 2</t>
        </is>
      </c>
      <c r="E10" s="22" t="n">
        <v>4</v>
      </c>
      <c r="F10" s="22" t="n">
        <v>10</v>
      </c>
      <c r="G10" s="22">
        <f>F10*E10</f>
        <v/>
      </c>
      <c r="H10" s="22" t="n">
        <v>16</v>
      </c>
      <c r="I10" s="22">
        <f>MAX(0,G10-H10)</f>
        <v/>
      </c>
      <c r="J10">
        <f>MIN(_xlfn.IFERROR(QUOTIENT(H4,E4),0),_xlfn.IFERROR(QUOTIENT(H5,E5),0),_xlfn.IFERROR(QUOTIENT(H6,E6),0),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,_xlfn.IFERROR(QUOTIENT(H16,E16),0),_xlfn.IFERROR(QUOTIENT(H17,E17),0),_xlfn.IFERROR(QUOTIENT(H18,E18),0),_xlfn.IFERROR(QUOTIENT(H19,E19),0),_xlfn.IFERROR(QUOTIENT(H20,E20),0),_xlfn.IFERROR(QUOTIENT(H21,E21),0),_xlfn.IFERROR(QUOTIENT(H22,E22),0),_xlfn.IFERROR(QUOTIENT(H23,E23),0),_xlfn.IFERROR(QUOTIENT(H24,E24),0))</f>
        <v/>
      </c>
      <c r="K10" s="14">
        <f>"BUILDABLE: "&amp;$J$4&amp;" | TOTAL REQ: "&amp;G10&amp;" | RECEIVED: "&amp;H10&amp;" | STILL REQUIRED: "&amp;MAX(0,G10-H10)</f>
        <v/>
      </c>
      <c r="L10" s="2" t="n"/>
      <c r="M10" s="2" t="n"/>
    </row>
    <row r="11" ht="14.65" customHeight="1" s="70">
      <c r="A11" t="n">
        <v>1</v>
      </c>
      <c r="B11" t="n">
        <v>1084</v>
      </c>
      <c r="C11" s="19" t="n">
        <v>9</v>
      </c>
      <c r="D11" s="20" t="inlineStr">
        <is>
          <t>GUIDE RING</t>
        </is>
      </c>
      <c r="E11" s="22" t="n">
        <v>1</v>
      </c>
      <c r="F11" s="22" t="n">
        <v>10</v>
      </c>
      <c r="G11" s="22">
        <f>F11*E11</f>
        <v/>
      </c>
      <c r="H11" s="22" t="n">
        <v>9</v>
      </c>
      <c r="I11" s="22">
        <f>MAX(0,G11-H11)</f>
        <v/>
      </c>
      <c r="J11">
        <f>MIN(_xlfn.IFERROR(QUOTIENT(H4,E4),0),_xlfn.IFERROR(QUOTIENT(H5,E5),0),_xlfn.IFERROR(QUOTIENT(H6,E6),0),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,_xlfn.IFERROR(QUOTIENT(H16,E16),0),_xlfn.IFERROR(QUOTIENT(H17,E17),0),_xlfn.IFERROR(QUOTIENT(H18,E18),0),_xlfn.IFERROR(QUOTIENT(H19,E19),0),_xlfn.IFERROR(QUOTIENT(H20,E20),0),_xlfn.IFERROR(QUOTIENT(H21,E21),0),_xlfn.IFERROR(QUOTIENT(H22,E22),0),_xlfn.IFERROR(QUOTIENT(H23,E23),0),_xlfn.IFERROR(QUOTIENT(H24,E24),0))</f>
        <v/>
      </c>
      <c r="K11" s="14">
        <f>"BUILDABLE: "&amp;$J$4&amp;" | TOTAL REQ: "&amp;G11&amp;" | RECEIVED: "&amp;H11&amp;" | STILL REQUIRED: "&amp;MAX(0,G11-H11)</f>
        <v/>
      </c>
      <c r="L11" s="2" t="n"/>
      <c r="M11" s="2" t="n"/>
    </row>
    <row r="12" ht="14.65" customHeight="1" s="70">
      <c r="A12" t="n">
        <v>1</v>
      </c>
      <c r="B12" t="n">
        <v>1084</v>
      </c>
      <c r="C12" s="19" t="n">
        <v>11</v>
      </c>
      <c r="D12" s="20" t="inlineStr">
        <is>
          <t xml:space="preserve">HIGHT BLOCK </t>
        </is>
      </c>
      <c r="E12" s="22" t="n">
        <v>8</v>
      </c>
      <c r="F12" s="22" t="n">
        <v>10</v>
      </c>
      <c r="G12" s="22">
        <f>F12*E12</f>
        <v/>
      </c>
      <c r="H12" s="22" t="n">
        <v>64</v>
      </c>
      <c r="I12" s="22">
        <f>MAX(0,G12-H12)</f>
        <v/>
      </c>
      <c r="J12">
        <f>MIN(_xlfn.IFERROR(QUOTIENT(H4,E4),0),_xlfn.IFERROR(QUOTIENT(H5,E5),0),_xlfn.IFERROR(QUOTIENT(H6,E6),0),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,_xlfn.IFERROR(QUOTIENT(H16,E16),0),_xlfn.IFERROR(QUOTIENT(H17,E17),0),_xlfn.IFERROR(QUOTIENT(H18,E18),0),_xlfn.IFERROR(QUOTIENT(H19,E19),0),_xlfn.IFERROR(QUOTIENT(H20,E20),0),_xlfn.IFERROR(QUOTIENT(H21,E21),0),_xlfn.IFERROR(QUOTIENT(H22,E22),0),_xlfn.IFERROR(QUOTIENT(H23,E23),0),_xlfn.IFERROR(QUOTIENT(H24,E24),0))</f>
        <v/>
      </c>
      <c r="K12" s="14">
        <f>"BUILDABLE: "&amp;$J$4&amp;" | TOTAL REQ: "&amp;G12&amp;" | RECEIVED: "&amp;H12&amp;" | STILL REQUIRED: "&amp;MAX(0,G12-H12)</f>
        <v/>
      </c>
      <c r="L12" s="2" t="n"/>
      <c r="M12" s="2" t="n"/>
    </row>
    <row r="13" ht="14.65" customHeight="1" s="70">
      <c r="A13" t="n">
        <v>1</v>
      </c>
      <c r="B13" t="n">
        <v>1084</v>
      </c>
      <c r="C13" s="19" t="n">
        <v>12</v>
      </c>
      <c r="D13" s="20" t="inlineStr">
        <is>
          <t>SUPPORT PLATE</t>
        </is>
      </c>
      <c r="E13" s="22" t="n">
        <v>4</v>
      </c>
      <c r="F13" s="22" t="n">
        <v>10</v>
      </c>
      <c r="G13" s="22">
        <f>F13*E13</f>
        <v/>
      </c>
      <c r="H13" s="22" t="n">
        <v>16</v>
      </c>
      <c r="I13" s="22">
        <f>MAX(0,G13-H13)</f>
        <v/>
      </c>
      <c r="J13">
        <f>MIN(_xlfn.IFERROR(QUOTIENT(H4,E4),0),_xlfn.IFERROR(QUOTIENT(H5,E5),0),_xlfn.IFERROR(QUOTIENT(H6,E6),0),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,_xlfn.IFERROR(QUOTIENT(H16,E16),0),_xlfn.IFERROR(QUOTIENT(H17,E17),0),_xlfn.IFERROR(QUOTIENT(H18,E18),0),_xlfn.IFERROR(QUOTIENT(H19,E19),0),_xlfn.IFERROR(QUOTIENT(H20,E20),0),_xlfn.IFERROR(QUOTIENT(H21,E21),0),_xlfn.IFERROR(QUOTIENT(H22,E22),0),_xlfn.IFERROR(QUOTIENT(H23,E23),0),_xlfn.IFERROR(QUOTIENT(H24,E24),0))</f>
        <v/>
      </c>
      <c r="K13" s="14">
        <f>"BUILDABLE: "&amp;$J$4&amp;" | TOTAL REQ: "&amp;G13&amp;" | RECEIVED: "&amp;H13&amp;" | STILL REQUIRED: "&amp;MAX(0,G13-H13)</f>
        <v/>
      </c>
      <c r="L13" s="2" t="n"/>
      <c r="M13" s="2" t="n"/>
    </row>
    <row r="14" ht="14.65" customHeight="1" s="70">
      <c r="A14" t="n">
        <v>1</v>
      </c>
      <c r="B14" t="n">
        <v>1084</v>
      </c>
      <c r="C14" s="19" t="n">
        <v>14</v>
      </c>
      <c r="D14" s="20" t="inlineStr">
        <is>
          <t>LEGS</t>
        </is>
      </c>
      <c r="E14" s="22" t="n">
        <v>4</v>
      </c>
      <c r="F14" s="22" t="n">
        <v>10</v>
      </c>
      <c r="G14" s="22">
        <f>F14*E14</f>
        <v/>
      </c>
      <c r="H14" s="22" t="n">
        <v>32</v>
      </c>
      <c r="I14" s="22">
        <f>MAX(0,G14-H14)</f>
        <v/>
      </c>
      <c r="J14">
        <f>MIN(_xlfn.IFERROR(QUOTIENT(H4,E4),0),_xlfn.IFERROR(QUOTIENT(H5,E5),0),_xlfn.IFERROR(QUOTIENT(H6,E6),0),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,_xlfn.IFERROR(QUOTIENT(H16,E16),0),_xlfn.IFERROR(QUOTIENT(H17,E17),0),_xlfn.IFERROR(QUOTIENT(H18,E18),0),_xlfn.IFERROR(QUOTIENT(H19,E19),0),_xlfn.IFERROR(QUOTIENT(H20,E20),0),_xlfn.IFERROR(QUOTIENT(H21,E21),0),_xlfn.IFERROR(QUOTIENT(H22,E22),0),_xlfn.IFERROR(QUOTIENT(H23,E23),0),_xlfn.IFERROR(QUOTIENT(H24,E24),0))</f>
        <v/>
      </c>
      <c r="K14" s="14">
        <f>"BUILDABLE: "&amp;$J$4&amp;" | TOTAL REQ: "&amp;G14&amp;" | RECEIVED: "&amp;H14&amp;" | STILL REQUIRED: "&amp;MAX(0,G14-H14)</f>
        <v/>
      </c>
      <c r="L14" s="2" t="n"/>
      <c r="M14" s="2" t="n"/>
    </row>
    <row r="15" ht="14.65" customHeight="1" s="70">
      <c r="A15" t="n">
        <v>1</v>
      </c>
      <c r="B15" t="n">
        <v>1084</v>
      </c>
      <c r="C15" s="19" t="n">
        <v>16</v>
      </c>
      <c r="D15" s="20" t="inlineStr">
        <is>
          <t xml:space="preserve">HOLDING PLATE </t>
        </is>
      </c>
      <c r="E15" s="22" t="n">
        <v>6</v>
      </c>
      <c r="F15" s="22" t="n">
        <v>10</v>
      </c>
      <c r="G15" s="22">
        <f>F15*E15</f>
        <v/>
      </c>
      <c r="H15" s="22" t="n">
        <v>24</v>
      </c>
      <c r="I15" s="22">
        <f>MAX(0,G15-H15)</f>
        <v/>
      </c>
      <c r="J15">
        <f>MIN(_xlfn.IFERROR(QUOTIENT(H4,E4),0),_xlfn.IFERROR(QUOTIENT(H5,E5),0),_xlfn.IFERROR(QUOTIENT(H6,E6),0),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,_xlfn.IFERROR(QUOTIENT(H16,E16),0),_xlfn.IFERROR(QUOTIENT(H17,E17),0),_xlfn.IFERROR(QUOTIENT(H18,E18),0),_xlfn.IFERROR(QUOTIENT(H19,E19),0),_xlfn.IFERROR(QUOTIENT(H20,E20),0),_xlfn.IFERROR(QUOTIENT(H21,E21),0),_xlfn.IFERROR(QUOTIENT(H22,E22),0),_xlfn.IFERROR(QUOTIENT(H23,E23),0),_xlfn.IFERROR(QUOTIENT(H24,E24),0))</f>
        <v/>
      </c>
      <c r="K15" s="14">
        <f>"BUILDABLE: "&amp;$J$4&amp;" | TOTAL REQ: "&amp;G15&amp;" | RECEIVED: "&amp;H15&amp;" | STILL REQUIRED: "&amp;MAX(0,G15-H15)</f>
        <v/>
      </c>
      <c r="L15" s="2" t="n"/>
      <c r="M15" s="2" t="n"/>
    </row>
    <row r="16" ht="14.65" customHeight="1" s="70">
      <c r="A16" t="n">
        <v>1</v>
      </c>
      <c r="B16" t="n">
        <v>1084</v>
      </c>
      <c r="C16" s="19" t="n">
        <v>17</v>
      </c>
      <c r="D16" s="20" t="inlineStr">
        <is>
          <t xml:space="preserve">GUIDE PLATE </t>
        </is>
      </c>
      <c r="E16" s="22" t="n">
        <v>6</v>
      </c>
      <c r="F16" s="22" t="n">
        <v>10</v>
      </c>
      <c r="G16" s="22">
        <f>F16*E16</f>
        <v/>
      </c>
      <c r="H16" s="22" t="n">
        <v>24</v>
      </c>
      <c r="I16" s="22">
        <f>MAX(0,G16-H16)</f>
        <v/>
      </c>
      <c r="J16">
        <f>MIN(_xlfn.IFERROR(QUOTIENT(H4,E4),0),_xlfn.IFERROR(QUOTIENT(H5,E5),0),_xlfn.IFERROR(QUOTIENT(H6,E6),0),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,_xlfn.IFERROR(QUOTIENT(H16,E16),0),_xlfn.IFERROR(QUOTIENT(H17,E17),0),_xlfn.IFERROR(QUOTIENT(H18,E18),0),_xlfn.IFERROR(QUOTIENT(H19,E19),0),_xlfn.IFERROR(QUOTIENT(H20,E20),0),_xlfn.IFERROR(QUOTIENT(H21,E21),0),_xlfn.IFERROR(QUOTIENT(H22,E22),0),_xlfn.IFERROR(QUOTIENT(H23,E23),0),_xlfn.IFERROR(QUOTIENT(H24,E24),0))</f>
        <v/>
      </c>
      <c r="K16" s="14">
        <f>"BUILDABLE: "&amp;$J$4&amp;" | TOTAL REQ: "&amp;G16&amp;" | RECEIVED: "&amp;H16&amp;" | STILL REQUIRED: "&amp;MAX(0,G16-H16)</f>
        <v/>
      </c>
      <c r="L16" s="2" t="n"/>
      <c r="M16" s="2" t="n"/>
    </row>
    <row r="17" ht="14.65" customHeight="1" s="70">
      <c r="A17" t="n">
        <v>1</v>
      </c>
      <c r="B17" t="n">
        <v>1084</v>
      </c>
      <c r="C17" s="19" t="n">
        <v>18</v>
      </c>
      <c r="D17" s="20" t="inlineStr">
        <is>
          <t xml:space="preserve">STEPPED FLANGE </t>
        </is>
      </c>
      <c r="E17" s="22" t="n">
        <v>1</v>
      </c>
      <c r="F17" s="22" t="n">
        <v>10</v>
      </c>
      <c r="G17" s="22">
        <f>F17*E17</f>
        <v/>
      </c>
      <c r="H17" s="22" t="n">
        <v>16</v>
      </c>
      <c r="I17" s="22">
        <f>MAX(0,G17-H17)</f>
        <v/>
      </c>
      <c r="J17">
        <f>MIN(_xlfn.IFERROR(QUOTIENT(H4,E4),0),_xlfn.IFERROR(QUOTIENT(H5,E5),0),_xlfn.IFERROR(QUOTIENT(H6,E6),0),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,_xlfn.IFERROR(QUOTIENT(H16,E16),0),_xlfn.IFERROR(QUOTIENT(H17,E17),0),_xlfn.IFERROR(QUOTIENT(H18,E18),0),_xlfn.IFERROR(QUOTIENT(H19,E19),0),_xlfn.IFERROR(QUOTIENT(H20,E20),0),_xlfn.IFERROR(QUOTIENT(H21,E21),0),_xlfn.IFERROR(QUOTIENT(H22,E22),0),_xlfn.IFERROR(QUOTIENT(H23,E23),0),_xlfn.IFERROR(QUOTIENT(H24,E24),0))</f>
        <v/>
      </c>
      <c r="K17" s="14">
        <f>"BUILDABLE: "&amp;$J$4&amp;" | TOTAL REQ: "&amp;G17&amp;" | RECEIVED: "&amp;H17&amp;" | STILL REQUIRED: "&amp;MAX(0,G17-H17)</f>
        <v/>
      </c>
      <c r="L17" s="2" t="n"/>
      <c r="M17" s="2" t="n"/>
    </row>
    <row r="18" ht="14.65" customHeight="1" s="70">
      <c r="A18" t="n">
        <v>1</v>
      </c>
      <c r="B18" t="n">
        <v>1084</v>
      </c>
      <c r="C18" s="19" t="n">
        <v>19</v>
      </c>
      <c r="D18" s="20" t="inlineStr">
        <is>
          <t xml:space="preserve">DOMING PLATE </t>
        </is>
      </c>
      <c r="E18" s="22" t="n">
        <v>1</v>
      </c>
      <c r="F18" s="22" t="n">
        <v>10</v>
      </c>
      <c r="G18" s="22">
        <f>F18*E18</f>
        <v/>
      </c>
      <c r="H18" s="22" t="n">
        <v>13</v>
      </c>
      <c r="I18" s="22">
        <f>MAX(0,G18-H18)</f>
        <v/>
      </c>
      <c r="J18">
        <f>MIN(_xlfn.IFERROR(QUOTIENT(H4,E4),0),_xlfn.IFERROR(QUOTIENT(H5,E5),0),_xlfn.IFERROR(QUOTIENT(H6,E6),0),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,_xlfn.IFERROR(QUOTIENT(H16,E16),0),_xlfn.IFERROR(QUOTIENT(H17,E17),0),_xlfn.IFERROR(QUOTIENT(H18,E18),0),_xlfn.IFERROR(QUOTIENT(H19,E19),0),_xlfn.IFERROR(QUOTIENT(H20,E20),0),_xlfn.IFERROR(QUOTIENT(H21,E21),0),_xlfn.IFERROR(QUOTIENT(H22,E22),0),_xlfn.IFERROR(QUOTIENT(H23,E23),0),_xlfn.IFERROR(QUOTIENT(H24,E24),0))</f>
        <v/>
      </c>
      <c r="K18" s="14">
        <f>"BUILDABLE: "&amp;$J$4&amp;" | TOTAL REQ: "&amp;G18&amp;" | RECEIVED: "&amp;H18&amp;" | STILL REQUIRED: "&amp;MAX(0,G18-H18)</f>
        <v/>
      </c>
      <c r="L18" s="2" t="n"/>
      <c r="M18" s="2" t="n"/>
    </row>
    <row r="19" ht="14.65" customHeight="1" s="70">
      <c r="A19" t="n">
        <v>1</v>
      </c>
      <c r="B19" t="n">
        <v>1084</v>
      </c>
      <c r="C19" s="19" t="n">
        <v>20</v>
      </c>
      <c r="D19" s="20" t="inlineStr">
        <is>
          <t xml:space="preserve">TOP ALIGMENT PLAT </t>
        </is>
      </c>
      <c r="E19" s="22" t="n">
        <v>1</v>
      </c>
      <c r="F19" s="22" t="n">
        <v>10</v>
      </c>
      <c r="G19" s="22">
        <f>F19*E19</f>
        <v/>
      </c>
      <c r="H19" s="22" t="n">
        <v>17</v>
      </c>
      <c r="I19" s="22">
        <f>MAX(0,G19-H19)</f>
        <v/>
      </c>
      <c r="J19">
        <f>MIN(_xlfn.IFERROR(QUOTIENT(H4,E4),0),_xlfn.IFERROR(QUOTIENT(H5,E5),0),_xlfn.IFERROR(QUOTIENT(H6,E6),0),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,_xlfn.IFERROR(QUOTIENT(H16,E16),0),_xlfn.IFERROR(QUOTIENT(H17,E17),0),_xlfn.IFERROR(QUOTIENT(H18,E18),0),_xlfn.IFERROR(QUOTIENT(H19,E19),0),_xlfn.IFERROR(QUOTIENT(H20,E20),0),_xlfn.IFERROR(QUOTIENT(H21,E21),0),_xlfn.IFERROR(QUOTIENT(H22,E22),0),_xlfn.IFERROR(QUOTIENT(H23,E23),0),_xlfn.IFERROR(QUOTIENT(H24,E24),0))</f>
        <v/>
      </c>
      <c r="K19" s="14">
        <f>"BUILDABLE: "&amp;$J$4&amp;" | TOTAL REQ: "&amp;G19&amp;" | RECEIVED: "&amp;H19&amp;" | STILL REQUIRED: "&amp;MAX(0,G19-H19)</f>
        <v/>
      </c>
      <c r="L19" s="2" t="n"/>
      <c r="M19" s="2" t="n"/>
    </row>
    <row r="20" ht="14.65" customHeight="1" s="70">
      <c r="A20" t="n">
        <v>1</v>
      </c>
      <c r="B20" t="n">
        <v>1084</v>
      </c>
      <c r="C20" s="19" t="n">
        <v>21</v>
      </c>
      <c r="D20" s="20" t="inlineStr">
        <is>
          <t xml:space="preserve">BOTTOM ALLIGNMENT PATE </t>
        </is>
      </c>
      <c r="E20" s="22" t="n">
        <v>1</v>
      </c>
      <c r="F20" s="22" t="n">
        <v>10</v>
      </c>
      <c r="G20" s="22">
        <f>F20*E20</f>
        <v/>
      </c>
      <c r="H20" s="22" t="n">
        <v>13</v>
      </c>
      <c r="I20" s="22">
        <f>MAX(0,G20-H20)</f>
        <v/>
      </c>
      <c r="J20">
        <f>MIN(_xlfn.IFERROR(QUOTIENT(H4,E4),0),_xlfn.IFERROR(QUOTIENT(H5,E5),0),_xlfn.IFERROR(QUOTIENT(H6,E6),0),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,_xlfn.IFERROR(QUOTIENT(H16,E16),0),_xlfn.IFERROR(QUOTIENT(H17,E17),0),_xlfn.IFERROR(QUOTIENT(H18,E18),0),_xlfn.IFERROR(QUOTIENT(H19,E19),0),_xlfn.IFERROR(QUOTIENT(H20,E20),0),_xlfn.IFERROR(QUOTIENT(H21,E21),0),_xlfn.IFERROR(QUOTIENT(H22,E22),0),_xlfn.IFERROR(QUOTIENT(H23,E23),0),_xlfn.IFERROR(QUOTIENT(H24,E24),0))</f>
        <v/>
      </c>
      <c r="K20" s="14">
        <f>"BUILDABLE: "&amp;$J$4&amp;" | TOTAL REQ: "&amp;G20&amp;" | RECEIVED: "&amp;H20&amp;" | STILL REQUIRED: "&amp;MAX(0,G20-H20)</f>
        <v/>
      </c>
      <c r="L20" s="2" t="n"/>
      <c r="M20" s="2" t="n"/>
    </row>
    <row r="21" ht="14.65" customHeight="1" s="70">
      <c r="A21" t="n">
        <v>1</v>
      </c>
      <c r="B21" t="n">
        <v>1084</v>
      </c>
      <c r="C21" s="19" t="n">
        <v>22</v>
      </c>
      <c r="D21" s="20" t="inlineStr">
        <is>
          <t xml:space="preserve">GUIDE ROD </t>
        </is>
      </c>
      <c r="E21" s="22" t="n">
        <v>5</v>
      </c>
      <c r="F21" s="22" t="n">
        <v>10</v>
      </c>
      <c r="G21" s="22">
        <f>F21*E21</f>
        <v/>
      </c>
      <c r="H21" s="22" t="n">
        <v>50</v>
      </c>
      <c r="I21" s="22">
        <f>MAX(0,G21-H21)</f>
        <v/>
      </c>
      <c r="J21">
        <f>MIN(_xlfn.IFERROR(QUOTIENT(H4,E4),0),_xlfn.IFERROR(QUOTIENT(H5,E5),0),_xlfn.IFERROR(QUOTIENT(H6,E6),0),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,_xlfn.IFERROR(QUOTIENT(H16,E16),0),_xlfn.IFERROR(QUOTIENT(H17,E17),0),_xlfn.IFERROR(QUOTIENT(H18,E18),0),_xlfn.IFERROR(QUOTIENT(H19,E19),0),_xlfn.IFERROR(QUOTIENT(H20,E20),0),_xlfn.IFERROR(QUOTIENT(H21,E21),0),_xlfn.IFERROR(QUOTIENT(H22,E22),0),_xlfn.IFERROR(QUOTIENT(H23,E23),0),_xlfn.IFERROR(QUOTIENT(H24,E24),0))</f>
        <v/>
      </c>
      <c r="K21" s="14">
        <f>"BUILDABLE: "&amp;$J$4&amp;" | TOTAL REQ: "&amp;G21&amp;" | RECEIVED: "&amp;H21&amp;" | STILL REQUIRED: "&amp;MAX(0,G21-H21)</f>
        <v/>
      </c>
      <c r="L21" s="2" t="n"/>
      <c r="M21" s="2" t="n"/>
    </row>
    <row r="22" ht="14.65" customHeight="1" s="70">
      <c r="A22" t="n">
        <v>1</v>
      </c>
      <c r="B22" t="n">
        <v>1084</v>
      </c>
      <c r="C22" s="19" t="n">
        <v>24</v>
      </c>
      <c r="D22" s="20" t="inlineStr">
        <is>
          <t xml:space="preserve">1/2 PIPE </t>
        </is>
      </c>
      <c r="E22" s="22" t="n">
        <v>4</v>
      </c>
      <c r="F22" s="22" t="n">
        <v>10</v>
      </c>
      <c r="G22" s="22">
        <f>F22*E22</f>
        <v/>
      </c>
      <c r="H22" s="22" t="n">
        <v>16</v>
      </c>
      <c r="I22" s="22">
        <f>MAX(0,G22-H22)</f>
        <v/>
      </c>
      <c r="J22">
        <f>MIN(_xlfn.IFERROR(QUOTIENT(H4,E4),0),_xlfn.IFERROR(QUOTIENT(H5,E5),0),_xlfn.IFERROR(QUOTIENT(H6,E6),0),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,_xlfn.IFERROR(QUOTIENT(H16,E16),0),_xlfn.IFERROR(QUOTIENT(H17,E17),0),_xlfn.IFERROR(QUOTIENT(H18,E18),0),_xlfn.IFERROR(QUOTIENT(H19,E19),0),_xlfn.IFERROR(QUOTIENT(H20,E20),0),_xlfn.IFERROR(QUOTIENT(H21,E21),0),_xlfn.IFERROR(QUOTIENT(H22,E22),0),_xlfn.IFERROR(QUOTIENT(H23,E23),0),_xlfn.IFERROR(QUOTIENT(H24,E24),0))</f>
        <v/>
      </c>
      <c r="K22" s="14">
        <f>"BUILDABLE: "&amp;$J$4&amp;" | TOTAL REQ: "&amp;G22&amp;" | RECEIVED: "&amp;H22&amp;" | STILL REQUIRED: "&amp;MAX(0,G22-H22)</f>
        <v/>
      </c>
      <c r="L22" s="2" t="n"/>
      <c r="M22" s="2" t="n"/>
    </row>
    <row r="23" ht="14.65" customHeight="1" s="70">
      <c r="A23" t="n">
        <v>1</v>
      </c>
      <c r="B23" t="n">
        <v>1084</v>
      </c>
      <c r="C23" s="19" t="n">
        <v>28</v>
      </c>
      <c r="D23" s="20" t="inlineStr">
        <is>
          <t>1" PIPE *882</t>
        </is>
      </c>
      <c r="E23" s="22" t="n">
        <v>4</v>
      </c>
      <c r="F23" s="22" t="n">
        <v>10</v>
      </c>
      <c r="G23" s="22">
        <f>F23*E23</f>
        <v/>
      </c>
      <c r="H23" s="22" t="n">
        <v>16</v>
      </c>
      <c r="I23" s="22">
        <f>MAX(0,G23-H23)</f>
        <v/>
      </c>
      <c r="J23">
        <f>MIN(_xlfn.IFERROR(QUOTIENT(H4,E4),0),_xlfn.IFERROR(QUOTIENT(H5,E5),0),_xlfn.IFERROR(QUOTIENT(H6,E6),0),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,_xlfn.IFERROR(QUOTIENT(H16,E16),0),_xlfn.IFERROR(QUOTIENT(H17,E17),0),_xlfn.IFERROR(QUOTIENT(H18,E18),0),_xlfn.IFERROR(QUOTIENT(H19,E19),0),_xlfn.IFERROR(QUOTIENT(H20,E20),0),_xlfn.IFERROR(QUOTIENT(H21,E21),0),_xlfn.IFERROR(QUOTIENT(H22,E22),0),_xlfn.IFERROR(QUOTIENT(H23,E23),0),_xlfn.IFERROR(QUOTIENT(H24,E24),0))</f>
        <v/>
      </c>
      <c r="K23" s="14">
        <f>"BUILDABLE: "&amp;$J$4&amp;" | TOTAL REQ: "&amp;G23&amp;" | RECEIVED: "&amp;H23&amp;" | STILL REQUIRED: "&amp;MAX(0,G23-H23)</f>
        <v/>
      </c>
      <c r="L23" s="2" t="n"/>
      <c r="M23" s="2" t="n"/>
    </row>
    <row r="24" ht="14.65" customHeight="1" s="70">
      <c r="A24" t="n">
        <v>1</v>
      </c>
      <c r="B24" t="n">
        <v>1084</v>
      </c>
      <c r="C24" s="19" t="n">
        <v>29</v>
      </c>
      <c r="D24" s="20" t="inlineStr">
        <is>
          <t xml:space="preserve">TOP PLATE </t>
        </is>
      </c>
      <c r="E24" s="22" t="n">
        <v>1</v>
      </c>
      <c r="F24" s="22" t="n">
        <v>10</v>
      </c>
      <c r="G24" s="22">
        <f>F24*E24</f>
        <v/>
      </c>
      <c r="H24" s="22" t="n">
        <v>12</v>
      </c>
      <c r="I24" s="22">
        <f>MAX(0,G24-H24)</f>
        <v/>
      </c>
      <c r="J24">
        <f>MIN(_xlfn.IFERROR(QUOTIENT(H4,E4),0),_xlfn.IFERROR(QUOTIENT(H5,E5),0),_xlfn.IFERROR(QUOTIENT(H6,E6),0),_xlfn.IFERROR(QUOTIENT(H7,E7),0),_xlfn.IFERROR(QUOTIENT(H8,E8),0),_xlfn.IFERROR(QUOTIENT(H9,E9),0),_xlfn.IFERROR(QUOTIENT(H10,E10),0),_xlfn.IFERROR(QUOTIENT(H11,E11),0),_xlfn.IFERROR(QUOTIENT(H12,E12),0),_xlfn.IFERROR(QUOTIENT(H13,E13),0),_xlfn.IFERROR(QUOTIENT(H14,E14),0),_xlfn.IFERROR(QUOTIENT(H15,E15),0),_xlfn.IFERROR(QUOTIENT(H16,E16),0),_xlfn.IFERROR(QUOTIENT(H17,E17),0),_xlfn.IFERROR(QUOTIENT(H18,E18),0),_xlfn.IFERROR(QUOTIENT(H19,E19),0),_xlfn.IFERROR(QUOTIENT(H20,E20),0),_xlfn.IFERROR(QUOTIENT(H21,E21),0),_xlfn.IFERROR(QUOTIENT(H22,E22),0),_xlfn.IFERROR(QUOTIENT(H23,E23),0),_xlfn.IFERROR(QUOTIENT(H24,E24),0))</f>
        <v/>
      </c>
      <c r="K24" s="14">
        <f>"BUILDABLE: "&amp;$J$4&amp;" | TOTAL REQ: "&amp;G24&amp;" | RECEIVED: "&amp;H24&amp;" | STILL REQUIRED: "&amp;MAX(0,G24-H24)</f>
        <v/>
      </c>
      <c r="L24" s="2" t="n"/>
      <c r="M24" s="2" t="n"/>
    </row>
    <row r="25" ht="14.65" customHeight="1" s="70">
      <c r="A25" s="17" t="n">
        <v>2</v>
      </c>
      <c r="B25" s="32" t="n">
        <v>1028</v>
      </c>
      <c r="C25" s="19" t="n">
        <v>1</v>
      </c>
      <c r="D25" s="20" t="inlineStr">
        <is>
          <t>BASE PLATE</t>
        </is>
      </c>
      <c r="E25" s="22" t="n">
        <v>1</v>
      </c>
      <c r="F25" s="22" t="n">
        <v>2</v>
      </c>
      <c r="G25" s="22">
        <f>F25*E25</f>
        <v/>
      </c>
      <c r="H25" s="22" t="n">
        <v>2</v>
      </c>
      <c r="I25" s="22">
        <f>MAX(0,G25-H25)</f>
        <v/>
      </c>
      <c r="J25" s="22">
        <f>MIN(_xlfn.IFERROR(QUOTIENT(H25,E25),0),_xlfn.IFERROR(QUOTIENT(H26,E26),0),_xlfn.IFERROR(QUOTIENT(H27,E27),0))</f>
        <v/>
      </c>
      <c r="K25" s="14">
        <f>"BUILDABLE: "&amp;$J$25&amp;" | TOTAL REQ: "&amp;G25&amp;" | RECEIVED: "&amp;H25&amp;" | STILL REQUIRED: "&amp;MAX(0,G25-H25)</f>
        <v/>
      </c>
      <c r="L25" s="2" t="n"/>
      <c r="M25" s="2" t="n"/>
    </row>
    <row r="26" ht="14.65" customHeight="1" s="70">
      <c r="A26" t="n">
        <v>2</v>
      </c>
      <c r="B26" t="n">
        <v>1028</v>
      </c>
      <c r="C26" s="19" t="n">
        <v>2</v>
      </c>
      <c r="D26" s="20" t="inlineStr">
        <is>
          <t>FIXTURE PLATE</t>
        </is>
      </c>
      <c r="E26" s="22" t="n">
        <v>1</v>
      </c>
      <c r="F26" s="22" t="n">
        <v>2</v>
      </c>
      <c r="G26" s="22">
        <f>F26*E26</f>
        <v/>
      </c>
      <c r="H26" s="22" t="n">
        <v>2</v>
      </c>
      <c r="I26" s="22">
        <f>MAX(0,G26-H26)</f>
        <v/>
      </c>
      <c r="J26">
        <f>MIN(_xlfn.IFERROR(QUOTIENT(H25,E25),0),_xlfn.IFERROR(QUOTIENT(H26,E26),0),_xlfn.IFERROR(QUOTIENT(H27,E27),0))</f>
        <v/>
      </c>
      <c r="K26" s="14">
        <f>"BUILDABLE: "&amp;$J$25&amp;" | TOTAL REQ: "&amp;G26&amp;" | RECEIVED: "&amp;H26&amp;" | STILL REQUIRED: "&amp;MAX(0,G26-H26)</f>
        <v/>
      </c>
      <c r="L26" s="2" t="n"/>
      <c r="M26" s="2" t="n"/>
    </row>
    <row r="27" ht="14.65" customHeight="1" s="70">
      <c r="A27" t="n">
        <v>2</v>
      </c>
      <c r="B27" t="n">
        <v>1028</v>
      </c>
      <c r="C27" s="19" t="n">
        <v>7</v>
      </c>
      <c r="D27" s="20" t="inlineStr">
        <is>
          <t xml:space="preserve">CLAMP </t>
        </is>
      </c>
      <c r="E27" s="22" t="n">
        <v>16</v>
      </c>
      <c r="F27" s="22" t="n">
        <v>2</v>
      </c>
      <c r="G27" s="22">
        <f>F27*E27</f>
        <v/>
      </c>
      <c r="H27" s="22" t="n">
        <v>28</v>
      </c>
      <c r="I27" s="22">
        <f>MAX(0,G27-H27)</f>
        <v/>
      </c>
      <c r="J27">
        <f>MIN(_xlfn.IFERROR(QUOTIENT(H25,E25),0),_xlfn.IFERROR(QUOTIENT(H26,E26),0),_xlfn.IFERROR(QUOTIENT(H27,E27),0))</f>
        <v/>
      </c>
      <c r="K27" s="14">
        <f>"BUILDABLE: "&amp;$J$25&amp;" | TOTAL REQ: "&amp;G27&amp;" | RECEIVED: "&amp;H27&amp;" | STILL REQUIRED: "&amp;MAX(0,G27-H27)</f>
        <v/>
      </c>
      <c r="L27" s="2" t="n"/>
      <c r="M27" s="2" t="n"/>
    </row>
    <row r="28" ht="14.65" customHeight="1" s="70">
      <c r="A28" s="17" t="n">
        <v>3</v>
      </c>
      <c r="B28" s="32" t="n">
        <v>1029</v>
      </c>
      <c r="C28" s="19" t="n">
        <v>1</v>
      </c>
      <c r="D28" s="20" t="inlineStr">
        <is>
          <t xml:space="preserve">SPINNING PLATE </t>
        </is>
      </c>
      <c r="E28" s="22" t="n">
        <v>1</v>
      </c>
      <c r="F28" s="22" t="n">
        <v>2</v>
      </c>
      <c r="G28" s="22">
        <f>F28*E28</f>
        <v/>
      </c>
      <c r="H28" s="22" t="n">
        <v>2</v>
      </c>
      <c r="I28" s="22">
        <f>MAX(0,G28-H28)</f>
        <v/>
      </c>
      <c r="J28" s="22">
        <f>MIN(_xlfn.IFERROR(QUOTIENT(H28,E28),0),_xlfn.IFERROR(QUOTIENT(H29,E29),0))</f>
        <v/>
      </c>
      <c r="K28" s="14">
        <f>"BUILDABLE: "&amp;$J$28&amp;" | TOTAL REQ: "&amp;G28&amp;" | RECEIVED: "&amp;H28&amp;" | STILL REQUIRED: "&amp;MAX(0,G28-H28)</f>
        <v/>
      </c>
      <c r="L28" s="2" t="n"/>
      <c r="M28" s="2" t="n"/>
    </row>
    <row r="29" ht="14.65" customHeight="1" s="70">
      <c r="A29" t="n">
        <v>3</v>
      </c>
      <c r="B29" t="n">
        <v>1029</v>
      </c>
      <c r="C29" s="19" t="n">
        <v>2</v>
      </c>
      <c r="D29" s="20" t="inlineStr">
        <is>
          <t>SUPPORT PLATE</t>
        </is>
      </c>
      <c r="E29" s="22" t="n">
        <v>1</v>
      </c>
      <c r="F29" s="22" t="n">
        <v>2</v>
      </c>
      <c r="G29" s="22">
        <f>F29*E29</f>
        <v/>
      </c>
      <c r="H29" s="22" t="n">
        <v>2</v>
      </c>
      <c r="I29" s="22">
        <f>MAX(0,G29-H29)</f>
        <v/>
      </c>
      <c r="J29">
        <f>MIN(_xlfn.IFERROR(QUOTIENT(H28,E28),0),_xlfn.IFERROR(QUOTIENT(H29,E29),0))</f>
        <v/>
      </c>
      <c r="K29" s="14">
        <f>"BUILDABLE: "&amp;$J$28&amp;" | TOTAL REQ: "&amp;G29&amp;" | RECEIVED: "&amp;H29&amp;" | STILL REQUIRED: "&amp;MAX(0,G29-H29)</f>
        <v/>
      </c>
      <c r="L29" s="2" t="n"/>
      <c r="M29" s="2" t="n"/>
    </row>
    <row r="30" ht="14.65" customHeight="1" s="70">
      <c r="A30" s="17" t="n">
        <v>4</v>
      </c>
      <c r="B30" s="32" t="n">
        <v>1040</v>
      </c>
      <c r="C30" s="19" t="n">
        <v>1</v>
      </c>
      <c r="D30" s="20" t="inlineStr">
        <is>
          <t>BOTTOM PLATE</t>
        </is>
      </c>
      <c r="E30" s="22" t="n">
        <v>1</v>
      </c>
      <c r="F30" s="22" t="n">
        <v>2</v>
      </c>
      <c r="G30" s="22">
        <f>F30*E30</f>
        <v/>
      </c>
      <c r="H30" s="22" t="n">
        <v>2</v>
      </c>
      <c r="I30" s="22">
        <f>MAX(0,G30-H30)</f>
        <v/>
      </c>
      <c r="J30" s="22">
        <f>MIN(_xlfn.IFERROR(QUOTIENT(H30,E30),0),_xlfn.IFERROR(QUOTIENT(H31,E31),0),_xlfn.IFERROR(QUOTIENT(H32,E32),0),_xlfn.IFERROR(QUOTIENT(H33,E33),0),_xlfn.IFERROR(QUOTIENT(H34,E34),0))</f>
        <v/>
      </c>
      <c r="K30" s="14">
        <f>"BUILDABLE: "&amp;$J$30&amp;" | TOTAL REQ: "&amp;G30&amp;" | RECEIVED: "&amp;H30&amp;" | STILL REQUIRED: "&amp;MAX(0,G30-H30)</f>
        <v/>
      </c>
      <c r="L30" s="2" t="n"/>
      <c r="M30" s="2" t="n"/>
    </row>
    <row r="31" ht="14.65" customHeight="1" s="70">
      <c r="A31" t="n">
        <v>4</v>
      </c>
      <c r="B31" t="n">
        <v>1040</v>
      </c>
      <c r="C31" s="19" t="n">
        <v>2</v>
      </c>
      <c r="D31" s="20" t="inlineStr">
        <is>
          <t>SUPPORT RING</t>
        </is>
      </c>
      <c r="E31" s="22" t="n">
        <v>1</v>
      </c>
      <c r="F31" s="22" t="n">
        <v>2</v>
      </c>
      <c r="G31" s="22">
        <f>F31*E31</f>
        <v/>
      </c>
      <c r="H31" s="22" t="n">
        <v>1</v>
      </c>
      <c r="I31" s="22">
        <f>MAX(0,G31-H31)</f>
        <v/>
      </c>
      <c r="J31">
        <f>MIN(_xlfn.IFERROR(QUOTIENT(H30,E30),0),_xlfn.IFERROR(QUOTIENT(H31,E31),0),_xlfn.IFERROR(QUOTIENT(H32,E32),0),_xlfn.IFERROR(QUOTIENT(H33,E33),0),_xlfn.IFERROR(QUOTIENT(H34,E34),0))</f>
        <v/>
      </c>
      <c r="K31" s="14">
        <f>"BUILDABLE: "&amp;$J$30&amp;" | TOTAL REQ: "&amp;G31&amp;" | RECEIVED: "&amp;H31&amp;" | STILL REQUIRED: "&amp;MAX(0,G31-H31)</f>
        <v/>
      </c>
      <c r="L31" s="2" t="n"/>
      <c r="M31" s="2" t="n"/>
    </row>
    <row r="32" ht="14.65" customHeight="1" s="70">
      <c r="A32" t="n">
        <v>4</v>
      </c>
      <c r="B32" t="n">
        <v>1040</v>
      </c>
      <c r="C32" s="19" t="n">
        <v>3</v>
      </c>
      <c r="D32" s="20" t="inlineStr">
        <is>
          <t xml:space="preserve">TOP PLATE </t>
        </is>
      </c>
      <c r="E32" s="22" t="n">
        <v>1</v>
      </c>
      <c r="F32" s="22" t="n">
        <v>2</v>
      </c>
      <c r="G32" s="22">
        <f>F32*E32</f>
        <v/>
      </c>
      <c r="H32" s="22" t="n">
        <v>2</v>
      </c>
      <c r="I32" s="22">
        <f>MAX(0,G32-H32)</f>
        <v/>
      </c>
      <c r="J32">
        <f>MIN(_xlfn.IFERROR(QUOTIENT(H30,E30),0),_xlfn.IFERROR(QUOTIENT(H31,E31),0),_xlfn.IFERROR(QUOTIENT(H32,E32),0),_xlfn.IFERROR(QUOTIENT(H33,E33),0),_xlfn.IFERROR(QUOTIENT(H34,E34),0))</f>
        <v/>
      </c>
      <c r="K32" s="14">
        <f>"BUILDABLE: "&amp;$J$30&amp;" | TOTAL REQ: "&amp;G32&amp;" | RECEIVED: "&amp;H32&amp;" | STILL REQUIRED: "&amp;MAX(0,G32-H32)</f>
        <v/>
      </c>
      <c r="L32" s="2" t="n"/>
      <c r="M32" s="2" t="n"/>
    </row>
    <row r="33" ht="14.65" customHeight="1" s="70">
      <c r="A33" t="n">
        <v>4</v>
      </c>
      <c r="B33" t="n">
        <v>1040</v>
      </c>
      <c r="C33" s="19" t="n">
        <v>4</v>
      </c>
      <c r="D33" s="20" t="inlineStr">
        <is>
          <t>RUBBER</t>
        </is>
      </c>
      <c r="E33" s="22" t="n">
        <v>1</v>
      </c>
      <c r="F33" s="22" t="n">
        <v>2</v>
      </c>
      <c r="G33" s="22">
        <f>F33*E33</f>
        <v/>
      </c>
      <c r="H33" s="22" t="n">
        <v>1</v>
      </c>
      <c r="I33" s="22">
        <f>MAX(0,G33-H33)</f>
        <v/>
      </c>
      <c r="J33">
        <f>MIN(_xlfn.IFERROR(QUOTIENT(H30,E30),0),_xlfn.IFERROR(QUOTIENT(H31,E31),0),_xlfn.IFERROR(QUOTIENT(H32,E32),0),_xlfn.IFERROR(QUOTIENT(H33,E33),0),_xlfn.IFERROR(QUOTIENT(H34,E34),0))</f>
        <v/>
      </c>
      <c r="K33" s="14">
        <f>"BUILDABLE: "&amp;$J$30&amp;" | TOTAL REQ: "&amp;G33&amp;" | RECEIVED: "&amp;H33&amp;" | STILL REQUIRED: "&amp;MAX(0,G33-H33)</f>
        <v/>
      </c>
      <c r="L33" s="2" t="n"/>
      <c r="M33" s="2" t="n"/>
    </row>
    <row r="34" ht="14.65" customHeight="1" s="70">
      <c r="A34" t="n">
        <v>4</v>
      </c>
      <c r="B34" t="n">
        <v>1040</v>
      </c>
      <c r="C34" s="19" t="n">
        <v>5</v>
      </c>
      <c r="D34" s="20" t="inlineStr">
        <is>
          <t>MIDDLE RING</t>
        </is>
      </c>
      <c r="E34" s="22" t="n">
        <v>1</v>
      </c>
      <c r="F34" s="22" t="n">
        <v>2</v>
      </c>
      <c r="G34" s="22">
        <f>F34*E34</f>
        <v/>
      </c>
      <c r="H34" s="22" t="n">
        <v>2</v>
      </c>
      <c r="I34" s="22">
        <f>MAX(0,G34-H34)</f>
        <v/>
      </c>
      <c r="J34">
        <f>MIN(_xlfn.IFERROR(QUOTIENT(H30,E30),0),_xlfn.IFERROR(QUOTIENT(H31,E31),0),_xlfn.IFERROR(QUOTIENT(H32,E32),0),_xlfn.IFERROR(QUOTIENT(H33,E33),0),_xlfn.IFERROR(QUOTIENT(H34,E34),0))</f>
        <v/>
      </c>
      <c r="K34" s="14">
        <f>"BUILDABLE: "&amp;$J$30&amp;" | TOTAL REQ: "&amp;G34&amp;" | RECEIVED: "&amp;H34&amp;" | STILL REQUIRED: "&amp;MAX(0,G34-H34)</f>
        <v/>
      </c>
      <c r="L34" s="2" t="n"/>
      <c r="M34" s="2" t="n"/>
    </row>
    <row r="35" ht="14.65" customHeight="1" s="70">
      <c r="A35" s="17" t="n">
        <v>5</v>
      </c>
      <c r="B35" s="32" t="n">
        <v>1054</v>
      </c>
      <c r="C35" s="19" t="n">
        <v>1</v>
      </c>
      <c r="D35" s="20" t="inlineStr">
        <is>
          <t>BASE PLATE</t>
        </is>
      </c>
      <c r="E35" s="22" t="n">
        <v>1</v>
      </c>
      <c r="F35" s="22" t="n">
        <v>2</v>
      </c>
      <c r="G35" s="22">
        <f>F35*E35</f>
        <v/>
      </c>
      <c r="H35" s="22" t="n">
        <v>2</v>
      </c>
      <c r="I35" s="22">
        <f>MAX(0,G35-H35)</f>
        <v/>
      </c>
      <c r="J35" s="22">
        <f>MIN(_xlfn.IFERROR(QUOTIENT(H35,E35),0),_xlfn.IFERROR(QUOTIENT(H36,E36),0),_xlfn.IFERROR(QUOTIENT(H37,E37),0))</f>
        <v/>
      </c>
      <c r="K35" s="14">
        <f>"BUILDABLE: "&amp;$J$35&amp;" | TOTAL REQ: "&amp;G35&amp;" | RECEIVED: "&amp;H35&amp;" | STILL REQUIRED: "&amp;MAX(0,G35-H35)</f>
        <v/>
      </c>
      <c r="L35" s="2" t="n"/>
      <c r="M35" s="2" t="n"/>
    </row>
    <row r="36" ht="14.65" customHeight="1" s="70">
      <c r="A36" t="n">
        <v>5</v>
      </c>
      <c r="B36" t="n">
        <v>1054</v>
      </c>
      <c r="C36" s="19" t="n">
        <v>2</v>
      </c>
      <c r="D36" s="20" t="inlineStr">
        <is>
          <t xml:space="preserve">CLAMP </t>
        </is>
      </c>
      <c r="E36" s="22" t="n">
        <v>1</v>
      </c>
      <c r="F36" s="22" t="n">
        <v>2</v>
      </c>
      <c r="G36" s="22">
        <f>F36*E36</f>
        <v/>
      </c>
      <c r="H36" s="22" t="n">
        <v>1</v>
      </c>
      <c r="I36" s="22">
        <f>MAX(0,G36-H36)</f>
        <v/>
      </c>
      <c r="J36">
        <f>MIN(_xlfn.IFERROR(QUOTIENT(H35,E35),0),_xlfn.IFERROR(QUOTIENT(H36,E36),0),_xlfn.IFERROR(QUOTIENT(H37,E37),0))</f>
        <v/>
      </c>
      <c r="K36" s="14">
        <f>"BUILDABLE: "&amp;$J$35&amp;" | TOTAL REQ: "&amp;G36&amp;" | RECEIVED: "&amp;H36&amp;" | STILL REQUIRED: "&amp;MAX(0,G36-H36)</f>
        <v/>
      </c>
      <c r="L36" s="2" t="n"/>
      <c r="M36" s="2" t="n"/>
    </row>
    <row r="37" ht="14.65" customHeight="1" s="70">
      <c r="A37" t="n">
        <v>5</v>
      </c>
      <c r="B37" t="n">
        <v>1054</v>
      </c>
      <c r="C37" s="19" t="n">
        <v>3</v>
      </c>
      <c r="D37" s="20" t="inlineStr">
        <is>
          <t>COPPER BUSH</t>
        </is>
      </c>
      <c r="E37" s="22" t="n">
        <v>16</v>
      </c>
      <c r="F37" s="22" t="n">
        <v>2</v>
      </c>
      <c r="G37" s="22">
        <f>F37*E37</f>
        <v/>
      </c>
      <c r="H37" s="22" t="n">
        <v>16</v>
      </c>
      <c r="I37" s="22">
        <f>MAX(0,G37-H37)</f>
        <v/>
      </c>
      <c r="J37">
        <f>MIN(_xlfn.IFERROR(QUOTIENT(H35,E35),0),_xlfn.IFERROR(QUOTIENT(H36,E36),0),_xlfn.IFERROR(QUOTIENT(H37,E37),0))</f>
        <v/>
      </c>
      <c r="K37" s="14">
        <f>"BUILDABLE: "&amp;$J$35&amp;" | TOTAL REQ: "&amp;G37&amp;" | RECEIVED: "&amp;H37&amp;" | STILL REQUIRED: "&amp;MAX(0,G37-H37)</f>
        <v/>
      </c>
      <c r="L37" s="2" t="n"/>
      <c r="M37" s="2" t="n"/>
    </row>
    <row r="38" ht="14.65" customHeight="1" s="70">
      <c r="A38" s="17" t="n">
        <v>6</v>
      </c>
      <c r="B38" s="32" t="n">
        <v>1065</v>
      </c>
      <c r="C38" s="19" t="n">
        <v>1</v>
      </c>
      <c r="D38" s="20" t="inlineStr">
        <is>
          <t>BASE PLATE</t>
        </is>
      </c>
      <c r="E38" s="22" t="n">
        <v>1</v>
      </c>
      <c r="F38" s="22" t="n">
        <v>2</v>
      </c>
      <c r="G38" s="22">
        <f>F38*E38</f>
        <v/>
      </c>
      <c r="H38" s="22" t="n">
        <v>2</v>
      </c>
      <c r="I38" s="22">
        <f>MAX(0,G38-H38)</f>
        <v/>
      </c>
      <c r="J38" s="22">
        <f>MIN(_xlfn.IFERROR(QUOTIENT(H38,E38),0),_xlfn.IFERROR(QUOTIENT(H39,E39),0),_xlfn.IFERROR(QUOTIENT(H40,E40),0))</f>
        <v/>
      </c>
      <c r="K38" s="14">
        <f>"BUILDABLE: "&amp;$J$38&amp;" | TOTAL REQ: "&amp;G38&amp;" | RECEIVED: "&amp;H38&amp;" | STILL REQUIRED: "&amp;MAX(0,G38-H38)</f>
        <v/>
      </c>
      <c r="L38" s="2" t="n"/>
      <c r="M38" s="2" t="n"/>
    </row>
    <row r="39" ht="14.65" customHeight="1" s="70">
      <c r="A39" t="n">
        <v>6</v>
      </c>
      <c r="B39" t="n">
        <v>1065</v>
      </c>
      <c r="C39" s="19" t="n">
        <v>2</v>
      </c>
      <c r="D39" s="20" t="inlineStr">
        <is>
          <t>LOCATING PLUG</t>
        </is>
      </c>
      <c r="E39" s="22" t="n">
        <v>1</v>
      </c>
      <c r="F39" s="22" t="n">
        <v>2</v>
      </c>
      <c r="G39" s="22">
        <f>F39*E39</f>
        <v/>
      </c>
      <c r="H39" s="22" t="n">
        <v>2</v>
      </c>
      <c r="I39" s="22">
        <f>MAX(0,G39-H39)</f>
        <v/>
      </c>
      <c r="J39">
        <f>MIN(_xlfn.IFERROR(QUOTIENT(H38,E38),0),_xlfn.IFERROR(QUOTIENT(H39,E39),0),_xlfn.IFERROR(QUOTIENT(H40,E40),0))</f>
        <v/>
      </c>
      <c r="K39" s="14">
        <f>"BUILDABLE: "&amp;$J$38&amp;" | TOTAL REQ: "&amp;G39&amp;" | RECEIVED: "&amp;H39&amp;" | STILL REQUIRED: "&amp;MAX(0,G39-H39)</f>
        <v/>
      </c>
      <c r="L39" s="2" t="n"/>
      <c r="M39" s="2" t="n"/>
    </row>
    <row r="40" ht="14.65" customHeight="1" s="70">
      <c r="A40" t="n">
        <v>6</v>
      </c>
      <c r="B40" t="n">
        <v>1065</v>
      </c>
      <c r="C40" s="19" t="n">
        <v>3</v>
      </c>
      <c r="D40" s="20" t="inlineStr">
        <is>
          <t xml:space="preserve">TOP PLATE </t>
        </is>
      </c>
      <c r="E40" s="22" t="n">
        <v>1</v>
      </c>
      <c r="F40" s="22" t="n">
        <v>2</v>
      </c>
      <c r="G40" s="22">
        <f>F40*E40</f>
        <v/>
      </c>
      <c r="H40" s="22" t="n">
        <v>2</v>
      </c>
      <c r="I40" s="22">
        <f>MAX(0,G40-H40)</f>
        <v/>
      </c>
      <c r="J40">
        <f>MIN(_xlfn.IFERROR(QUOTIENT(H38,E38),0),_xlfn.IFERROR(QUOTIENT(H39,E39),0),_xlfn.IFERROR(QUOTIENT(H40,E40),0))</f>
        <v/>
      </c>
      <c r="K40" s="14">
        <f>"BUILDABLE: "&amp;$J$38&amp;" | TOTAL REQ: "&amp;G40&amp;" | RECEIVED: "&amp;H40&amp;" | STILL REQUIRED: "&amp;MAX(0,G40-H40)</f>
        <v/>
      </c>
      <c r="L40" s="2" t="n"/>
      <c r="M40" s="2" t="n"/>
    </row>
    <row r="41" ht="14.65" customHeight="1" s="70">
      <c r="A41" s="17" t="n">
        <v>7</v>
      </c>
      <c r="B41" s="32" t="n">
        <v>1068</v>
      </c>
      <c r="C41" s="19" t="n">
        <v>1</v>
      </c>
      <c r="D41" s="20" t="inlineStr">
        <is>
          <t>BOTTOM PLATE</t>
        </is>
      </c>
      <c r="E41" s="22" t="n">
        <v>1</v>
      </c>
      <c r="F41" s="22" t="n">
        <v>2</v>
      </c>
      <c r="G41" s="22">
        <f>F41*E41</f>
        <v/>
      </c>
      <c r="H41" s="22" t="n">
        <v>1</v>
      </c>
      <c r="I41" s="22">
        <f>MAX(0,G41-H41)</f>
        <v/>
      </c>
      <c r="J41" s="22">
        <f>MIN(_xlfn.IFERROR(QUOTIENT(H41,E41),0),_xlfn.IFERROR(QUOTIENT(H42,E42),0),_xlfn.IFERROR(QUOTIENT(H43,E43),0),_xlfn.IFERROR(QUOTIENT(H44,E44),0),_xlfn.IFERROR(QUOTIENT(H45,E45),0),_xlfn.IFERROR(QUOTIENT(H46,E46),0),_xlfn.IFERROR(QUOTIENT(H47,E47),0),_xlfn.IFERROR(QUOTIENT(H48,E48),0),_xlfn.IFERROR(QUOTIENT(H49,E49),0),_xlfn.IFERROR(QUOTIENT(H50,E50),0),_xlfn.IFERROR(QUOTIENT(H51,E51),0),_xlfn.IFERROR(QUOTIENT(H52,E52),0))</f>
        <v/>
      </c>
      <c r="K41" s="14">
        <f>"BUILDABLE: "&amp;$J$41&amp;" | TOTAL REQ: "&amp;G41&amp;" | RECEIVED: "&amp;H41&amp;" | STILL REQUIRED: "&amp;MAX(0,G41-H41)</f>
        <v/>
      </c>
      <c r="L41" s="2" t="n"/>
      <c r="M41" s="2" t="n"/>
    </row>
    <row r="42" ht="14.65" customHeight="1" s="70">
      <c r="A42" t="n">
        <v>7</v>
      </c>
      <c r="B42" t="n">
        <v>1068</v>
      </c>
      <c r="C42" s="19" t="n">
        <v>2</v>
      </c>
      <c r="D42" s="20" t="inlineStr">
        <is>
          <t xml:space="preserve">TOP PLATE </t>
        </is>
      </c>
      <c r="E42" s="22" t="n">
        <v>1</v>
      </c>
      <c r="F42" s="22" t="n">
        <v>2</v>
      </c>
      <c r="G42" s="22">
        <f>F42*E42</f>
        <v/>
      </c>
      <c r="H42" s="22" t="n">
        <v>1</v>
      </c>
      <c r="I42" s="22">
        <f>MAX(0,G42-H42)</f>
        <v/>
      </c>
      <c r="J42">
        <f>MIN(_xlfn.IFERROR(QUOTIENT(H41,E41),0),_xlfn.IFERROR(QUOTIENT(H42,E42),0),_xlfn.IFERROR(QUOTIENT(H43,E43),0),_xlfn.IFERROR(QUOTIENT(H44,E44),0),_xlfn.IFERROR(QUOTIENT(H45,E45),0),_xlfn.IFERROR(QUOTIENT(H46,E46),0),_xlfn.IFERROR(QUOTIENT(H47,E47),0),_xlfn.IFERROR(QUOTIENT(H48,E48),0),_xlfn.IFERROR(QUOTIENT(H49,E49),0),_xlfn.IFERROR(QUOTIENT(H50,E50),0),_xlfn.IFERROR(QUOTIENT(H51,E51),0),_xlfn.IFERROR(QUOTIENT(H52,E52),0))</f>
        <v/>
      </c>
      <c r="K42" s="14">
        <f>"BUILDABLE: "&amp;$J$41&amp;" | TOTAL REQ: "&amp;G42&amp;" | RECEIVED: "&amp;H42&amp;" | STILL REQUIRED: "&amp;MAX(0,G42-H42)</f>
        <v/>
      </c>
      <c r="L42" s="2" t="n"/>
      <c r="M42" s="2" t="n"/>
    </row>
    <row r="43" ht="14.65" customHeight="1" s="70">
      <c r="A43" t="n">
        <v>7</v>
      </c>
      <c r="B43" t="n">
        <v>1068</v>
      </c>
      <c r="C43" s="19" t="n">
        <v>3</v>
      </c>
      <c r="D43" s="20" t="inlineStr">
        <is>
          <t>LOCATING PLUG</t>
        </is>
      </c>
      <c r="E43" s="22" t="n">
        <v>2</v>
      </c>
      <c r="F43" s="22" t="n">
        <v>2</v>
      </c>
      <c r="G43" s="22">
        <f>F43*E43</f>
        <v/>
      </c>
      <c r="H43" s="22" t="n">
        <v>4</v>
      </c>
      <c r="I43" s="22">
        <f>MAX(0,G43-H43)</f>
        <v/>
      </c>
      <c r="J43">
        <f>MIN(_xlfn.IFERROR(QUOTIENT(H41,E41),0),_xlfn.IFERROR(QUOTIENT(H42,E42),0),_xlfn.IFERROR(QUOTIENT(H43,E43),0),_xlfn.IFERROR(QUOTIENT(H44,E44),0),_xlfn.IFERROR(QUOTIENT(H45,E45),0),_xlfn.IFERROR(QUOTIENT(H46,E46),0),_xlfn.IFERROR(QUOTIENT(H47,E47),0),_xlfn.IFERROR(QUOTIENT(H48,E48),0),_xlfn.IFERROR(QUOTIENT(H49,E49),0),_xlfn.IFERROR(QUOTIENT(H50,E50),0),_xlfn.IFERROR(QUOTIENT(H51,E51),0),_xlfn.IFERROR(QUOTIENT(H52,E52),0))</f>
        <v/>
      </c>
      <c r="K43" s="14">
        <f>"BUILDABLE: "&amp;$J$41&amp;" | TOTAL REQ: "&amp;G43&amp;" | RECEIVED: "&amp;H43&amp;" | STILL REQUIRED: "&amp;MAX(0,G43-H43)</f>
        <v/>
      </c>
      <c r="L43" s="2" t="n"/>
      <c r="M43" s="2" t="n"/>
    </row>
    <row r="44" ht="14.65" customHeight="1" s="70">
      <c r="A44" t="n">
        <v>7</v>
      </c>
      <c r="B44" t="n">
        <v>1068</v>
      </c>
      <c r="C44" s="19" t="n">
        <v>4</v>
      </c>
      <c r="D44" s="20" t="inlineStr">
        <is>
          <t>LOCATING RING</t>
        </is>
      </c>
      <c r="E44" s="22" t="n">
        <v>2</v>
      </c>
      <c r="F44" s="22" t="n">
        <v>2</v>
      </c>
      <c r="G44" s="22">
        <f>F44*E44</f>
        <v/>
      </c>
      <c r="H44" s="22" t="n">
        <v>4</v>
      </c>
      <c r="I44" s="22">
        <f>MAX(0,G44-H44)</f>
        <v/>
      </c>
      <c r="J44">
        <f>MIN(_xlfn.IFERROR(QUOTIENT(H41,E41),0),_xlfn.IFERROR(QUOTIENT(H42,E42),0),_xlfn.IFERROR(QUOTIENT(H43,E43),0),_xlfn.IFERROR(QUOTIENT(H44,E44),0),_xlfn.IFERROR(QUOTIENT(H45,E45),0),_xlfn.IFERROR(QUOTIENT(H46,E46),0),_xlfn.IFERROR(QUOTIENT(H47,E47),0),_xlfn.IFERROR(QUOTIENT(H48,E48),0),_xlfn.IFERROR(QUOTIENT(H49,E49),0),_xlfn.IFERROR(QUOTIENT(H50,E50),0),_xlfn.IFERROR(QUOTIENT(H51,E51),0),_xlfn.IFERROR(QUOTIENT(H52,E52),0))</f>
        <v/>
      </c>
      <c r="K44" s="14">
        <f>"BUILDABLE: "&amp;$J$41&amp;" | TOTAL REQ: "&amp;G44&amp;" | RECEIVED: "&amp;H44&amp;" | STILL REQUIRED: "&amp;MAX(0,G44-H44)</f>
        <v/>
      </c>
      <c r="L44" s="2" t="n"/>
      <c r="M44" s="2" t="n"/>
    </row>
    <row r="45" ht="14.65" customHeight="1" s="70">
      <c r="A45" t="n">
        <v>7</v>
      </c>
      <c r="B45" t="n">
        <v>1068</v>
      </c>
      <c r="C45" s="19" t="n">
        <v>5</v>
      </c>
      <c r="D45" s="20" t="inlineStr">
        <is>
          <t>LOCK PLATE</t>
        </is>
      </c>
      <c r="E45" s="22" t="n">
        <v>2</v>
      </c>
      <c r="F45" s="22" t="n">
        <v>2</v>
      </c>
      <c r="G45" s="22">
        <f>F45*E45</f>
        <v/>
      </c>
      <c r="H45" s="22" t="n">
        <v>2</v>
      </c>
      <c r="I45" s="22">
        <f>MAX(0,G45-H45)</f>
        <v/>
      </c>
      <c r="J45">
        <f>MIN(_xlfn.IFERROR(QUOTIENT(H41,E41),0),_xlfn.IFERROR(QUOTIENT(H42,E42),0),_xlfn.IFERROR(QUOTIENT(H43,E43),0),_xlfn.IFERROR(QUOTIENT(H44,E44),0),_xlfn.IFERROR(QUOTIENT(H45,E45),0),_xlfn.IFERROR(QUOTIENT(H46,E46),0),_xlfn.IFERROR(QUOTIENT(H47,E47),0),_xlfn.IFERROR(QUOTIENT(H48,E48),0),_xlfn.IFERROR(QUOTIENT(H49,E49),0),_xlfn.IFERROR(QUOTIENT(H50,E50),0),_xlfn.IFERROR(QUOTIENT(H51,E51),0),_xlfn.IFERROR(QUOTIENT(H52,E52),0))</f>
        <v/>
      </c>
      <c r="K45" s="14">
        <f>"BUILDABLE: "&amp;$J$41&amp;" | TOTAL REQ: "&amp;G45&amp;" | RECEIVED: "&amp;H45&amp;" | STILL REQUIRED: "&amp;MAX(0,G45-H45)</f>
        <v/>
      </c>
      <c r="L45" s="2" t="n"/>
      <c r="M45" s="2" t="n"/>
    </row>
    <row r="46" ht="14.65" customHeight="1" s="70">
      <c r="A46" t="n">
        <v>7</v>
      </c>
      <c r="B46" t="n">
        <v>1068</v>
      </c>
      <c r="C46" s="19" t="n">
        <v>6</v>
      </c>
      <c r="D46" s="20" t="inlineStr">
        <is>
          <t>LEGS</t>
        </is>
      </c>
      <c r="E46" s="22" t="n">
        <v>4</v>
      </c>
      <c r="F46" s="22" t="n">
        <v>2</v>
      </c>
      <c r="G46" s="22">
        <f>F46*E46</f>
        <v/>
      </c>
      <c r="H46" s="22" t="n">
        <v>4</v>
      </c>
      <c r="I46" s="22">
        <f>MAX(0,G46-H46)</f>
        <v/>
      </c>
      <c r="J46">
        <f>MIN(_xlfn.IFERROR(QUOTIENT(H41,E41),0),_xlfn.IFERROR(QUOTIENT(H42,E42),0),_xlfn.IFERROR(QUOTIENT(H43,E43),0),_xlfn.IFERROR(QUOTIENT(H44,E44),0),_xlfn.IFERROR(QUOTIENT(H45,E45),0),_xlfn.IFERROR(QUOTIENT(H46,E46),0),_xlfn.IFERROR(QUOTIENT(H47,E47),0),_xlfn.IFERROR(QUOTIENT(H48,E48),0),_xlfn.IFERROR(QUOTIENT(H49,E49),0),_xlfn.IFERROR(QUOTIENT(H50,E50),0),_xlfn.IFERROR(QUOTIENT(H51,E51),0),_xlfn.IFERROR(QUOTIENT(H52,E52),0))</f>
        <v/>
      </c>
      <c r="K46" s="14">
        <f>"BUILDABLE: "&amp;$J$41&amp;" | TOTAL REQ: "&amp;G46&amp;" | RECEIVED: "&amp;H46&amp;" | STILL REQUIRED: "&amp;MAX(0,G46-H46)</f>
        <v/>
      </c>
      <c r="L46" s="2" t="n"/>
      <c r="M46" s="2" t="n"/>
    </row>
    <row r="47" ht="14.65" customHeight="1" s="70">
      <c r="A47" t="n">
        <v>7</v>
      </c>
      <c r="B47" t="n">
        <v>1068</v>
      </c>
      <c r="C47" s="19" t="n">
        <v>8</v>
      </c>
      <c r="D47" s="20" t="inlineStr">
        <is>
          <t>SANITARY PLUG</t>
        </is>
      </c>
      <c r="E47" s="22" t="n">
        <v>2</v>
      </c>
      <c r="F47" s="22" t="n">
        <v>2</v>
      </c>
      <c r="G47" s="22">
        <f>F47*E47</f>
        <v/>
      </c>
      <c r="H47" s="22" t="n">
        <v>7</v>
      </c>
      <c r="I47" s="22">
        <f>MAX(0,G47-H47)</f>
        <v/>
      </c>
      <c r="J47">
        <f>MIN(_xlfn.IFERROR(QUOTIENT(H41,E41),0),_xlfn.IFERROR(QUOTIENT(H42,E42),0),_xlfn.IFERROR(QUOTIENT(H43,E43),0),_xlfn.IFERROR(QUOTIENT(H44,E44),0),_xlfn.IFERROR(QUOTIENT(H45,E45),0),_xlfn.IFERROR(QUOTIENT(H46,E46),0),_xlfn.IFERROR(QUOTIENT(H47,E47),0),_xlfn.IFERROR(QUOTIENT(H48,E48),0),_xlfn.IFERROR(QUOTIENT(H49,E49),0),_xlfn.IFERROR(QUOTIENT(H50,E50),0),_xlfn.IFERROR(QUOTIENT(H51,E51),0),_xlfn.IFERROR(QUOTIENT(H52,E52),0))</f>
        <v/>
      </c>
      <c r="K47" s="14">
        <f>"BUILDABLE: "&amp;$J$41&amp;" | TOTAL REQ: "&amp;G47&amp;" | RECEIVED: "&amp;H47&amp;" | STILL REQUIRED: "&amp;MAX(0,G47-H47)</f>
        <v/>
      </c>
      <c r="L47" s="2" t="n"/>
      <c r="M47" s="2" t="n"/>
    </row>
    <row r="48" ht="14.65" customHeight="1" s="70">
      <c r="A48" t="n">
        <v>7</v>
      </c>
      <c r="B48" t="n">
        <v>1068</v>
      </c>
      <c r="C48" s="19" t="n">
        <v>10</v>
      </c>
      <c r="D48" s="20" t="inlineStr">
        <is>
          <t>ALIGNMENT PLATE</t>
        </is>
      </c>
      <c r="E48" s="22" t="n">
        <v>1</v>
      </c>
      <c r="F48" s="22" t="n">
        <v>2</v>
      </c>
      <c r="G48" s="22">
        <f>F48*E48</f>
        <v/>
      </c>
      <c r="H48" s="22" t="n">
        <v>1</v>
      </c>
      <c r="I48" s="22">
        <f>MAX(0,G48-H48)</f>
        <v/>
      </c>
      <c r="J48">
        <f>MIN(_xlfn.IFERROR(QUOTIENT(H41,E41),0),_xlfn.IFERROR(QUOTIENT(H42,E42),0),_xlfn.IFERROR(QUOTIENT(H43,E43),0),_xlfn.IFERROR(QUOTIENT(H44,E44),0),_xlfn.IFERROR(QUOTIENT(H45,E45),0),_xlfn.IFERROR(QUOTIENT(H46,E46),0),_xlfn.IFERROR(QUOTIENT(H47,E47),0),_xlfn.IFERROR(QUOTIENT(H48,E48),0),_xlfn.IFERROR(QUOTIENT(H49,E49),0),_xlfn.IFERROR(QUOTIENT(H50,E50),0),_xlfn.IFERROR(QUOTIENT(H51,E51),0),_xlfn.IFERROR(QUOTIENT(H52,E52),0))</f>
        <v/>
      </c>
      <c r="K48" s="14">
        <f>"BUILDABLE: "&amp;$J$41&amp;" | TOTAL REQ: "&amp;G48&amp;" | RECEIVED: "&amp;H48&amp;" | STILL REQUIRED: "&amp;MAX(0,G48-H48)</f>
        <v/>
      </c>
      <c r="L48" s="2" t="n"/>
      <c r="M48" s="2" t="n"/>
    </row>
    <row r="49" ht="14.65" customHeight="1" s="70">
      <c r="A49" t="n">
        <v>7</v>
      </c>
      <c r="B49" t="n">
        <v>1068</v>
      </c>
      <c r="C49" s="19" t="n">
        <v>11</v>
      </c>
      <c r="D49" s="20" t="inlineStr">
        <is>
          <t>LOACTING PLATE</t>
        </is>
      </c>
      <c r="E49" s="22" t="n">
        <v>4</v>
      </c>
      <c r="F49" s="22" t="n">
        <v>2</v>
      </c>
      <c r="G49" s="22">
        <f>F49*E49</f>
        <v/>
      </c>
      <c r="H49" s="22" t="n">
        <v>5</v>
      </c>
      <c r="I49" s="22">
        <f>MAX(0,G49-H49)</f>
        <v/>
      </c>
      <c r="J49" s="22">
        <f>MIN(_xlfn.IFERROR(QUOTIENT(H41,E41),0),_xlfn.IFERROR(QUOTIENT(H42,E42),0),_xlfn.IFERROR(QUOTIENT(H43,E43),0),_xlfn.IFERROR(QUOTIENT(H44,E44),0),_xlfn.IFERROR(QUOTIENT(H45,E45),0),_xlfn.IFERROR(QUOTIENT(H46,E46),0),_xlfn.IFERROR(QUOTIENT(H47,E47),0),_xlfn.IFERROR(QUOTIENT(H48,E48),0),_xlfn.IFERROR(QUOTIENT(H49,E49),0),_xlfn.IFERROR(QUOTIENT(H50,E50),0),_xlfn.IFERROR(QUOTIENT(H51,E51),0),_xlfn.IFERROR(QUOTIENT(H52,E52),0))</f>
        <v/>
      </c>
      <c r="K49" s="14">
        <f>"BUILDABLE: "&amp;$J$41&amp;" | TOTAL REQ: "&amp;G49&amp;" | RECEIVED: "&amp;H49&amp;" | STILL REQUIRED: "&amp;MAX(0,G49-H49)</f>
        <v/>
      </c>
      <c r="L49" s="2" t="n"/>
      <c r="M49" s="2" t="n"/>
    </row>
    <row r="50" ht="14.65" customHeight="1" s="70">
      <c r="A50" t="n">
        <v>7</v>
      </c>
      <c r="B50" t="n">
        <v>1068</v>
      </c>
      <c r="C50" s="19" t="n">
        <v>12</v>
      </c>
      <c r="D50" s="20" t="inlineStr">
        <is>
          <t>PIN 01</t>
        </is>
      </c>
      <c r="E50" s="22" t="n">
        <v>4</v>
      </c>
      <c r="F50" s="22" t="n">
        <v>2</v>
      </c>
      <c r="G50" s="22">
        <f>F50*E50</f>
        <v/>
      </c>
      <c r="H50" s="22" t="n">
        <v>4</v>
      </c>
      <c r="I50" s="22">
        <f>MAX(0,G50-H50)</f>
        <v/>
      </c>
      <c r="J50">
        <f>MIN(_xlfn.IFERROR(QUOTIENT(H41,E41),0),_xlfn.IFERROR(QUOTIENT(H42,E42),0),_xlfn.IFERROR(QUOTIENT(H43,E43),0),_xlfn.IFERROR(QUOTIENT(H44,E44),0),_xlfn.IFERROR(QUOTIENT(H45,E45),0),_xlfn.IFERROR(QUOTIENT(H46,E46),0),_xlfn.IFERROR(QUOTIENT(H47,E47),0),_xlfn.IFERROR(QUOTIENT(H48,E48),0),_xlfn.IFERROR(QUOTIENT(H49,E49),0),_xlfn.IFERROR(QUOTIENT(H50,E50),0),_xlfn.IFERROR(QUOTIENT(H51,E51),0),_xlfn.IFERROR(QUOTIENT(H52,E52),0))</f>
        <v/>
      </c>
      <c r="K50" s="14">
        <f>"BUILDABLE: "&amp;$J$41&amp;" | TOTAL REQ: "&amp;G50&amp;" | RECEIVED: "&amp;H50&amp;" | STILL REQUIRED: "&amp;MAX(0,G50-H50)</f>
        <v/>
      </c>
      <c r="L50" s="2" t="n"/>
      <c r="M50" s="2" t="n"/>
    </row>
    <row r="51" ht="14.65" customHeight="1" s="70">
      <c r="A51" t="n">
        <v>7</v>
      </c>
      <c r="B51" t="n">
        <v>1068</v>
      </c>
      <c r="C51" s="19" t="n">
        <v>13</v>
      </c>
      <c r="D51" s="20" t="inlineStr">
        <is>
          <t>PIN 02</t>
        </is>
      </c>
      <c r="E51" s="22" t="n">
        <v>1</v>
      </c>
      <c r="F51" s="22" t="n">
        <v>2</v>
      </c>
      <c r="G51" s="22">
        <f>F51*E51</f>
        <v/>
      </c>
      <c r="H51" s="22" t="n">
        <v>1</v>
      </c>
      <c r="I51" s="22">
        <f>MAX(0,G51-H51)</f>
        <v/>
      </c>
      <c r="J51">
        <f>MIN(_xlfn.IFERROR(QUOTIENT(H41,E41),0),_xlfn.IFERROR(QUOTIENT(H42,E42),0),_xlfn.IFERROR(QUOTIENT(H43,E43),0),_xlfn.IFERROR(QUOTIENT(H44,E44),0),_xlfn.IFERROR(QUOTIENT(H45,E45),0),_xlfn.IFERROR(QUOTIENT(H46,E46),0),_xlfn.IFERROR(QUOTIENT(H47,E47),0),_xlfn.IFERROR(QUOTIENT(H48,E48),0),_xlfn.IFERROR(QUOTIENT(H49,E49),0),_xlfn.IFERROR(QUOTIENT(H50,E50),0),_xlfn.IFERROR(QUOTIENT(H51,E51),0),_xlfn.IFERROR(QUOTIENT(H52,E52),0))</f>
        <v/>
      </c>
      <c r="K51" s="14">
        <f>"BUILDABLE: "&amp;$J$41&amp;" | TOTAL REQ: "&amp;G51&amp;" | RECEIVED: "&amp;H51&amp;" | STILL REQUIRED: "&amp;MAX(0,G51-H51)</f>
        <v/>
      </c>
      <c r="L51" s="2" t="n"/>
      <c r="M51" s="2" t="n"/>
    </row>
    <row r="52" ht="14.65" customHeight="1" s="70">
      <c r="A52" t="n">
        <v>7</v>
      </c>
      <c r="B52" t="n">
        <v>1068</v>
      </c>
      <c r="C52" s="19" t="n">
        <v>14</v>
      </c>
      <c r="D52" s="20" t="inlineStr">
        <is>
          <t>BLOCK</t>
        </is>
      </c>
      <c r="E52" s="22" t="n">
        <v>6</v>
      </c>
      <c r="F52" s="22" t="n">
        <v>2</v>
      </c>
      <c r="G52" s="22">
        <f>F52*E52</f>
        <v/>
      </c>
      <c r="H52" s="22" t="n">
        <v>6</v>
      </c>
      <c r="I52" s="22">
        <f>MAX(0,G52-H52)</f>
        <v/>
      </c>
      <c r="J52">
        <f>MIN(_xlfn.IFERROR(QUOTIENT(H41,E41),0),_xlfn.IFERROR(QUOTIENT(H42,E42),0),_xlfn.IFERROR(QUOTIENT(H43,E43),0),_xlfn.IFERROR(QUOTIENT(H44,E44),0),_xlfn.IFERROR(QUOTIENT(H45,E45),0),_xlfn.IFERROR(QUOTIENT(H46,E46),0),_xlfn.IFERROR(QUOTIENT(H47,E47),0),_xlfn.IFERROR(QUOTIENT(H48,E48),0),_xlfn.IFERROR(QUOTIENT(H49,E49),0),_xlfn.IFERROR(QUOTIENT(H50,E50),0),_xlfn.IFERROR(QUOTIENT(H51,E51),0),_xlfn.IFERROR(QUOTIENT(H52,E52),0))</f>
        <v/>
      </c>
      <c r="K52" s="14">
        <f>"BUILDABLE: "&amp;$J$41&amp;" | TOTAL REQ: "&amp;G52&amp;" | RECEIVED: "&amp;H52&amp;" | STILL REQUIRED: "&amp;MAX(0,G52-H52)</f>
        <v/>
      </c>
      <c r="L52" s="2" t="n"/>
      <c r="M52" s="2" t="n"/>
    </row>
    <row r="53" ht="14.65" customHeight="1" s="70">
      <c r="A53" s="17" t="n">
        <v>8</v>
      </c>
      <c r="B53" s="32" t="n">
        <v>1030</v>
      </c>
      <c r="C53" s="19" t="n">
        <v>1</v>
      </c>
      <c r="D53" s="20" t="inlineStr">
        <is>
          <t xml:space="preserve">TOP PLATE </t>
        </is>
      </c>
      <c r="E53" s="22" t="n">
        <v>1</v>
      </c>
      <c r="F53" s="22" t="n">
        <v>2</v>
      </c>
      <c r="G53" s="22">
        <f>F53*E53</f>
        <v/>
      </c>
      <c r="H53" s="22" t="n">
        <v>1</v>
      </c>
      <c r="I53" s="22">
        <f>MAX(0,G53-H53)</f>
        <v/>
      </c>
      <c r="J53" s="22">
        <f>MIN(_xlfn.IFERROR(QUOTIENT(H41,E41),0),_xlfn.IFERROR(QUOTIENT(H42,E42),0),_xlfn.IFERROR(QUOTIENT(H43,E43),0),_xlfn.IFERROR(QUOTIENT(H44,E44),0),_xlfn.IFERROR(QUOTIENT(H45,E45),0),_xlfn.IFERROR(QUOTIENT(H46,E46),0),_xlfn.IFERROR(QUOTIENT(H47,E47),0),_xlfn.IFERROR(QUOTIENT(H48,E48),0),_xlfn.IFERROR(QUOTIENT(H49,E49),0),_xlfn.IFERROR(QUOTIENT(H50,E50),0),_xlfn.IFERROR(QUOTIENT(H51,E51),0),_xlfn.IFERROR(QUOTIENT(H52,E52),0))</f>
        <v/>
      </c>
      <c r="K53" s="14">
        <f>"BUILDABLE: "&amp;$J$53&amp;" | TOTAL REQ: "&amp;G53&amp;" | RECEIVED: "&amp;H53&amp;" | STILL REQUIRED: "&amp;MAX(0,G53-H53)</f>
        <v/>
      </c>
      <c r="L53" s="2" t="n"/>
      <c r="M53" s="2" t="n"/>
    </row>
    <row r="54" ht="14.65" customHeight="1" s="70">
      <c r="A54" t="n">
        <v>8</v>
      </c>
      <c r="B54" t="n">
        <v>1030</v>
      </c>
      <c r="C54" s="19" t="n">
        <v>2</v>
      </c>
      <c r="D54" s="20" t="inlineStr">
        <is>
          <t>BOTTOM PLATE</t>
        </is>
      </c>
      <c r="E54" s="22" t="n">
        <v>1</v>
      </c>
      <c r="F54" s="22" t="n">
        <v>2</v>
      </c>
      <c r="G54" s="22">
        <f>F54*E54</f>
        <v/>
      </c>
      <c r="H54" s="22" t="n">
        <v>1</v>
      </c>
      <c r="I54" s="22">
        <f>MAX(0,G54-H54)</f>
        <v/>
      </c>
      <c r="J54">
        <f>MIN(_xlfn.IFERROR(QUOTIENT(H41,E41),0),_xlfn.IFERROR(QUOTIENT(H42,E42),0),_xlfn.IFERROR(QUOTIENT(H43,E43),0),_xlfn.IFERROR(QUOTIENT(H44,E44),0),_xlfn.IFERROR(QUOTIENT(H45,E45),0),_xlfn.IFERROR(QUOTIENT(H46,E46),0),_xlfn.IFERROR(QUOTIENT(H47,E47),0),_xlfn.IFERROR(QUOTIENT(H48,E48),0),_xlfn.IFERROR(QUOTIENT(H49,E49),0),_xlfn.IFERROR(QUOTIENT(H50,E50),0),_xlfn.IFERROR(QUOTIENT(H51,E51),0),_xlfn.IFERROR(QUOTIENT(H52,E52),0))</f>
        <v/>
      </c>
      <c r="K54" s="14">
        <f>"BUILDABLE: "&amp;$J$53&amp;" | TOTAL REQ: "&amp;G54&amp;" | RECEIVED: "&amp;H54&amp;" | STILL REQUIRED: "&amp;MAX(0,G54-H54)</f>
        <v/>
      </c>
      <c r="L54" s="2" t="n"/>
      <c r="M54" s="2" t="n"/>
    </row>
    <row r="55" ht="14.65" customHeight="1" s="70">
      <c r="A55" t="n">
        <v>8</v>
      </c>
      <c r="B55" t="n">
        <v>1030</v>
      </c>
      <c r="C55" s="19" t="n">
        <v>3</v>
      </c>
      <c r="D55" s="20" t="inlineStr">
        <is>
          <t>MIDDLE PLATE</t>
        </is>
      </c>
      <c r="E55" s="22" t="n">
        <v>2</v>
      </c>
      <c r="F55" s="22" t="n">
        <v>2</v>
      </c>
      <c r="G55" s="22">
        <f>F55*E55</f>
        <v/>
      </c>
      <c r="H55" s="22" t="n">
        <v>1</v>
      </c>
      <c r="I55" s="22">
        <f>MAX(0,G55-H55)</f>
        <v/>
      </c>
      <c r="J55">
        <f>MIN(_xlfn.IFERROR(QUOTIENT(H41,E41),0),_xlfn.IFERROR(QUOTIENT(H42,E42),0),_xlfn.IFERROR(QUOTIENT(H43,E43),0),_xlfn.IFERROR(QUOTIENT(H44,E44),0),_xlfn.IFERROR(QUOTIENT(H45,E45),0),_xlfn.IFERROR(QUOTIENT(H46,E46),0),_xlfn.IFERROR(QUOTIENT(H47,E47),0),_xlfn.IFERROR(QUOTIENT(H48,E48),0),_xlfn.IFERROR(QUOTIENT(H49,E49),0),_xlfn.IFERROR(QUOTIENT(H50,E50),0),_xlfn.IFERROR(QUOTIENT(H51,E51),0),_xlfn.IFERROR(QUOTIENT(H52,E52),0))</f>
        <v/>
      </c>
      <c r="K55" s="14">
        <f>"BUILDABLE: "&amp;$J$53&amp;" | TOTAL REQ: "&amp;G55&amp;" | RECEIVED: "&amp;H55&amp;" | STILL REQUIRED: "&amp;MAX(0,G55-H55)</f>
        <v/>
      </c>
      <c r="L55" s="2" t="n"/>
      <c r="M55" s="2" t="n"/>
    </row>
    <row r="56" ht="14.25" customHeight="1" s="70">
      <c r="A56" s="65" t="n">
        <v>9</v>
      </c>
      <c r="B56" s="40" t="n">
        <v>1074</v>
      </c>
      <c r="C56" s="66" t="n">
        <v>1</v>
      </c>
      <c r="D56" s="67" t="inlineStr">
        <is>
          <t xml:space="preserve">TOP PLATE </t>
        </is>
      </c>
      <c r="E56" s="60" t="n">
        <v>1</v>
      </c>
      <c r="F56" s="22" t="n">
        <v>2</v>
      </c>
      <c r="G56" s="22">
        <f>F56*E56</f>
        <v/>
      </c>
      <c r="H56" s="22" t="n">
        <v>3</v>
      </c>
      <c r="I56" s="22">
        <f>MAX(0,G56-H56)</f>
        <v/>
      </c>
      <c r="J56" s="22">
        <f>MIN(_xlfn.IFERROR(QUOTIENT(H41,E41),0),_xlfn.IFERROR(QUOTIENT(H42,E42),0),_xlfn.IFERROR(QUOTIENT(H43,E43),0),_xlfn.IFERROR(QUOTIENT(H44,E44),0),_xlfn.IFERROR(QUOTIENT(H45,E45),0),_xlfn.IFERROR(QUOTIENT(H46,E46),0),_xlfn.IFERROR(QUOTIENT(H47,E47),0),_xlfn.IFERROR(QUOTIENT(H48,E48),0),_xlfn.IFERROR(QUOTIENT(H49,E49),0),_xlfn.IFERROR(QUOTIENT(H50,E50),0),_xlfn.IFERROR(QUOTIENT(H51,E51),0),_xlfn.IFERROR(QUOTIENT(H52,E52),0))</f>
        <v/>
      </c>
      <c r="K56" s="14">
        <f>"BUILDABLE: "&amp;L56&amp;" | TOTAL REQ: "&amp;G56&amp;" | RECEIVED: "&amp;H56&amp;" | STILL REQUIRED: "&amp;MAX(0,G56-H56)</f>
        <v/>
      </c>
    </row>
    <row r="57" ht="14.25" customHeight="1" s="70">
      <c r="A57" t="n">
        <v>9</v>
      </c>
      <c r="B57" t="n">
        <v>1074</v>
      </c>
      <c r="C57" s="66" t="n">
        <v>2</v>
      </c>
      <c r="D57" s="67" t="inlineStr">
        <is>
          <t xml:space="preserve">BOTTOM PLATE </t>
        </is>
      </c>
      <c r="E57" s="60" t="n">
        <v>1</v>
      </c>
      <c r="F57" s="22" t="n">
        <v>2</v>
      </c>
      <c r="G57" s="22">
        <f>F57*E57</f>
        <v/>
      </c>
      <c r="H57" s="22" t="n">
        <v>2</v>
      </c>
      <c r="I57" s="22">
        <f>MAX(0,G57-H57)</f>
        <v/>
      </c>
      <c r="J57">
        <f>MIN(_xlfn.IFERROR(QUOTIENT(H41,E41),0),_xlfn.IFERROR(QUOTIENT(H42,E42),0),_xlfn.IFERROR(QUOTIENT(H43,E43),0),_xlfn.IFERROR(QUOTIENT(H44,E44),0),_xlfn.IFERROR(QUOTIENT(H45,E45),0),_xlfn.IFERROR(QUOTIENT(H46,E46),0),_xlfn.IFERROR(QUOTIENT(H47,E47),0),_xlfn.IFERROR(QUOTIENT(H48,E48),0),_xlfn.IFERROR(QUOTIENT(H49,E49),0),_xlfn.IFERROR(QUOTIENT(H50,E50),0),_xlfn.IFERROR(QUOTIENT(H51,E51),0),_xlfn.IFERROR(QUOTIENT(H52,E52),0))</f>
        <v/>
      </c>
      <c r="K57" s="14">
        <f>"BUILDABLE: "&amp;L57&amp;" | TOTAL REQ: "&amp;G57&amp;" | RECEIVED: "&amp;H57&amp;" | STILL REQUIRED: "&amp;MAX(0,G57-H57)</f>
        <v/>
      </c>
    </row>
    <row r="58" ht="14.25" customHeight="1" s="70">
      <c r="A58" t="n">
        <v>9</v>
      </c>
      <c r="B58" t="n">
        <v>1074</v>
      </c>
      <c r="C58" s="66" t="n">
        <v>3</v>
      </c>
      <c r="D58" s="67" t="inlineStr">
        <is>
          <t xml:space="preserve">MIDDLE PLATE </t>
        </is>
      </c>
      <c r="E58" s="60" t="n">
        <v>2</v>
      </c>
      <c r="F58" s="22" t="n">
        <v>2</v>
      </c>
      <c r="G58" s="22">
        <f>F58*E58</f>
        <v/>
      </c>
      <c r="H58" s="22" t="n">
        <v>3</v>
      </c>
      <c r="I58" s="22">
        <f>MAX(0,G58-H58)</f>
        <v/>
      </c>
      <c r="J58">
        <f>MIN(_xlfn.IFERROR(QUOTIENT(H41,E41),0),_xlfn.IFERROR(QUOTIENT(H42,E42),0),_xlfn.IFERROR(QUOTIENT(H43,E43),0),_xlfn.IFERROR(QUOTIENT(H44,E44),0),_xlfn.IFERROR(QUOTIENT(H45,E45),0),_xlfn.IFERROR(QUOTIENT(H46,E46),0),_xlfn.IFERROR(QUOTIENT(H47,E47),0),_xlfn.IFERROR(QUOTIENT(H48,E48),0),_xlfn.IFERROR(QUOTIENT(H49,E49),0),_xlfn.IFERROR(QUOTIENT(H50,E50),0),_xlfn.IFERROR(QUOTIENT(H51,E51),0),_xlfn.IFERROR(QUOTIENT(H52,E52),0))</f>
        <v/>
      </c>
      <c r="K58" s="14">
        <f>"BUILDABLE: "&amp;L58&amp;" | TOTAL REQ: "&amp;G58&amp;" | RECEIVED: "&amp;H58&amp;" | STILL REQUIRED: "&amp;MAX(0,G58-H58)</f>
        <v/>
      </c>
    </row>
    <row r="59">
      <c r="B59" t="n">
        <v>1074</v>
      </c>
    </row>
  </sheetData>
  <autoFilter ref="A3:K59"/>
  <mergeCells count="1">
    <mergeCell ref="A1:K2"/>
  </mergeCells>
  <conditionalFormatting sqref="J4:J58">
    <cfRule type="expression" priority="8" dxfId="9">
      <formula>J4&gt;0</formula>
    </cfRule>
  </conditionalFormatting>
  <conditionalFormatting sqref="K4:K58">
    <cfRule type="expression" priority="10" dxfId="9">
      <formula>ISNUMBER(SEARCH("COMPLETED",K4))</formula>
    </cfRule>
    <cfRule type="expression" priority="9" dxfId="11">
      <formula>ISNUMBER(SEARCH("PENDING",K4))</formula>
    </cfRule>
  </conditionalFormatting>
  <conditionalFormatting sqref="J3:J58">
    <cfRule type="cellIs" priority="2" operator="greaterThan" dxfId="0">
      <formula>0</formula>
    </cfRule>
    <cfRule type="cellIs" priority="1" operator="equal" dxfId="2">
      <formula>0</formula>
    </cfRule>
  </conditionalFormatting>
  <conditionalFormatting sqref="I3:I58">
    <cfRule type="cellIs" priority="4" operator="greaterThan" dxfId="0">
      <formula>0</formula>
    </cfRule>
    <cfRule type="cellIs" priority="3" operator="equal" dxfId="1">
      <formula>0</formula>
    </cfRule>
  </conditionalFormatting>
  <pageMargins left="0.7" right="0.7" top="0.75" bottom="0.75" header="0.511811023622047" footer="0.511811023622047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CPH2955</dc:creator>
  <dcterms:created xmlns:dcterms="http://purl.org/dc/terms/" xmlns:xsi="http://www.w3.org/2001/XMLSchema-instance" xsi:type="dcterms:W3CDTF">2015-06-05T07:17:20Z</dcterms:created>
  <dcterms:modified xmlns:dcterms="http://purl.org/dc/terms/" xmlns:xsi="http://www.w3.org/2001/XMLSchema-instance" xsi:type="dcterms:W3CDTF">2026-09-09T16:21:24Z</dcterms:modified>
  <cp:lastModifiedBy>rohith jogi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1d929bc641e44da683514ba4381b01ac</vt:lpwstr>
  </property>
</Properties>
</file>